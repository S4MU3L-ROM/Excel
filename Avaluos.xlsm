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drawings/drawing1.xml" ContentType="application/vnd.openxmlformats-officedocument.drawing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drawings/drawing2.xml" ContentType="application/vnd.openxmlformats-officedocument.drawing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drawings/drawing3.xml" ContentType="application/vnd.openxmlformats-officedocument.drawing+xml"/>
  <Override PartName="/xl/tables/table5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mir\Desktop\Andres- Avaluos\"/>
    </mc:Choice>
  </mc:AlternateContent>
  <xr:revisionPtr revIDLastSave="0" documentId="13_ncr:1_{F87AE5D6-B9FD-433B-851A-87A098F1E18B}" xr6:coauthVersionLast="47" xr6:coauthVersionMax="47" xr10:uidLastSave="{00000000-0000-0000-0000-000000000000}"/>
  <bookViews>
    <workbookView xWindow="-108" yWindow="-108" windowWidth="23256" windowHeight="12456" firstSheet="6" activeTab="18" xr2:uid="{0A8E95CC-DE5A-4C3F-BA19-EA15FE411049}"/>
  </bookViews>
  <sheets>
    <sheet name="Listados" sheetId="13" r:id="rId1"/>
    <sheet name="General" sheetId="1" r:id="rId2"/>
    <sheet name="Características Generales" sheetId="2" r:id="rId3"/>
    <sheet name="Escritura y Matrículas" sheetId="15" r:id="rId4"/>
    <sheet name="Garajes y Dépositos" sheetId="4" r:id="rId5"/>
    <sheet name="Propiedad Horizontal" sheetId="6" r:id="rId6"/>
    <sheet name="Del Entorno" sheetId="5" r:id="rId7"/>
    <sheet name="Estructura" sheetId="8" r:id="rId8"/>
    <sheet name="C. MERCADO P.H." sheetId="25" state="hidden" r:id="rId9"/>
    <sheet name="C. MERCADO TERR.CONST." sheetId="26" state="hidden" r:id="rId10"/>
    <sheet name="Reposición" sheetId="27" state="hidden" r:id="rId11"/>
    <sheet name="Fitto y Corvini" sheetId="28" state="hidden" r:id="rId12"/>
    <sheet name="Dependencias" sheetId="7" r:id="rId13"/>
    <sheet name="Calculos" sheetId="24" r:id="rId14"/>
    <sheet name="Liquidación" sheetId="19" r:id="rId15"/>
    <sheet name="Acabados" sheetId="9" r:id="rId16"/>
    <sheet name="Mapa" sheetId="12" r:id="rId17"/>
    <sheet name="Fotos" sheetId="17" r:id="rId18"/>
    <sheet name="FIRMA" sheetId="29" r:id="rId19"/>
  </sheets>
  <functionGroups builtInGroupCount="19"/>
  <externalReferences>
    <externalReference r:id="rId20"/>
    <externalReference r:id="rId21"/>
  </externalReferences>
  <definedNames>
    <definedName name="Acabados">TOTAL</definedName>
    <definedName name="Amazonas">Listados!$M$4:$M$5</definedName>
    <definedName name="AnchoFachada">Tabla2835364041[Ancho Fachada]</definedName>
    <definedName name="Antioquia">Listados!$N$4:$N$66</definedName>
    <definedName name="Arauca">Listados!$P$4:$P$11</definedName>
    <definedName name="_xlnm.Print_Area" localSheetId="15">Acabados!$A$1:$S$33</definedName>
    <definedName name="_xlnm.Print_Area" localSheetId="13">Calculos!$A$1:$S$34</definedName>
    <definedName name="_xlnm.Print_Area" localSheetId="2">'Características Generales'!$A$1:$S$55</definedName>
    <definedName name="_xlnm.Print_Area" localSheetId="6">'Del Entorno'!$A$1:$S$79</definedName>
    <definedName name="_xlnm.Print_Area" localSheetId="12">Dependencias!$A$1:$S$29</definedName>
    <definedName name="_xlnm.Print_Area" localSheetId="3">'Escritura y Matrículas'!$A$1:$O$50</definedName>
    <definedName name="_xlnm.Print_Area" localSheetId="7">Estructura!$A$1:$S$37</definedName>
    <definedName name="_xlnm.Print_Area" localSheetId="17">Fotos!$A$1:$S$200</definedName>
    <definedName name="_xlnm.Print_Area" localSheetId="4">'Garajes y Dépositos'!$A$1:$R$44</definedName>
    <definedName name="_xlnm.Print_Area" localSheetId="1">General!$A$1:$R$100</definedName>
    <definedName name="_xlnm.Print_Area" localSheetId="14">Liquidación!$A$1:$Q$32</definedName>
    <definedName name="_xlnm.Print_Area" localSheetId="16">Mapa!$A$1:$S$57</definedName>
    <definedName name="_xlnm.Print_Area" localSheetId="5">'Propiedad Horizontal'!$A$1:$S$35</definedName>
    <definedName name="AreaActiv">Tabla23[Área de actividad]</definedName>
    <definedName name="Atlántico">Listados!$R$4:$R$21</definedName>
    <definedName name="Bolívar">Listados!$T$4:$T$18</definedName>
    <definedName name="Boyacá">Listados!$V$4:$V$30</definedName>
    <definedName name="Capacidad">Tabla50[Capacidad]</definedName>
    <definedName name="CIUDAD">[1]!Tabla1[CIUDAD]</definedName>
    <definedName name="ClaseInm">Tabla6[Clase inmueble]</definedName>
    <definedName name="Cocina">Tabla33[Cocina]</definedName>
    <definedName name="Cond2">Tabla1132[Condiciones2]</definedName>
    <definedName name="CONDICION">[1]REF!$J$5:$J$7</definedName>
    <definedName name="Condicional">Tabla12[Condicional]</definedName>
    <definedName name="Condicional2">Tabla1244[Condicional 2]</definedName>
    <definedName name="Condiciones">Tabla11[Condiciones]</definedName>
    <definedName name="Cubierta">Tabla28353639[Cubierta]</definedName>
    <definedName name="Cundinamarca">Listados!$X$4:$X$76</definedName>
    <definedName name="Demanda">Tabla25[Demanda]</definedName>
    <definedName name="Dep">Tabla9[Departamento]</definedName>
    <definedName name="Depa2">Tabla20[Departamentos]</definedName>
    <definedName name="Distancia">Tabla30[Distancia]</definedName>
    <definedName name="Empresa">Tabla3[Empresa]</definedName>
    <definedName name="Estado">Tabla2835[Estado]</definedName>
    <definedName name="EstadoConstruccion">Tabla283543[Estado Construcción]</definedName>
    <definedName name="Estados2">Tabla2835434546[Estados 2]</definedName>
    <definedName name="Estrato">Tabla26[Estrato]</definedName>
    <definedName name="Estructura">Tabla283536[Estructura]</definedName>
    <definedName name="Fachada">Tabla28353640[Fachada]</definedName>
    <definedName name="Forma">Tabla51[Forma]</definedName>
    <definedName name="Horario">Tabla32[Horario de vigilancia]</definedName>
    <definedName name="Liq">Listados!$CP$11</definedName>
    <definedName name="Material">Tabla1238[Material]</definedName>
    <definedName name="Metodo">Tabla10[Método evaluación]</definedName>
    <definedName name="Nivel">Tabla29[Nivel]</definedName>
    <definedName name="Numeros">Tabla24[Numeros]</definedName>
    <definedName name="OBJETO">[1]REF!$B$5:$B$18</definedName>
    <definedName name="Ocupante">Tabla1[Ocupante]</definedName>
    <definedName name="Sector">Tabla8[Sector]</definedName>
    <definedName name="sector1">[1]!Tabla19[SECTOR]</definedName>
    <definedName name="Solicitante">Tabla5[Solicitante]</definedName>
    <definedName name="TipCed">Tabla7[Tipo de Cedula]</definedName>
    <definedName name="TipEstructura">Tabla123837[Tipo Estructura]</definedName>
    <definedName name="TipInm">Tabla21[Tipo Inmueble]</definedName>
    <definedName name="tipo" localSheetId="11">[2]PH!$BI$188:$BI$192</definedName>
    <definedName name="tipo" localSheetId="10">[2]PH!$BI$188:$BI$192</definedName>
    <definedName name="Tipo">Tabla2[Tipo avalúo]</definedName>
    <definedName name="TIPO_BIEN">[1]!Tabla10[TIPO DE BIEN]</definedName>
    <definedName name="Tipo2">Tabla49[Tipo]</definedName>
    <definedName name="TipoAreaLiq">Tabla56[[ Tipo de Área]]</definedName>
    <definedName name="TipoVivienda">Tabla2835364042[Tipología de vivienda]</definedName>
    <definedName name="Topografia">Tabla27[Topografía]</definedName>
    <definedName name="TOTAL">Liquidación!$L$19</definedName>
    <definedName name="Transporte">Tabla28[Transporte]</definedName>
    <definedName name="Unidad">Tabla52[Unidad]</definedName>
    <definedName name="Unidad7">Unidad3[Unidad]</definedName>
    <definedName name="UnidadesFinal">Unidad3[Unidad]</definedName>
    <definedName name="UnidadesLiq">Unidad3[[#All],[Unidad]]</definedName>
    <definedName name="Uso">Tabla4[Uso Actual]</definedName>
    <definedName name="USO_ACTUAL">[1]!Tabla5[USO ACTUAL]</definedName>
    <definedName name="UsoPred">Tabla22[Uso predominante]</definedName>
    <definedName name="ValorTotal">Tabla54[Valor Total]</definedName>
    <definedName name="ValorUnitario">Tabla54[Valor Unitario]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9" i="19" l="1"/>
  <c r="H20" i="19" a="1"/>
  <c r="H20" i="19" l="1"/>
  <c r="D6" i="28"/>
  <c r="D7" i="28"/>
  <c r="D8" i="28"/>
  <c r="D9" i="28"/>
  <c r="D10" i="28"/>
  <c r="D13" i="28"/>
  <c r="I20" i="28"/>
  <c r="I21" i="28"/>
  <c r="I22" i="28" s="1"/>
  <c r="I37" i="28"/>
  <c r="C77" i="28"/>
  <c r="C78" i="28"/>
  <c r="C79" i="28"/>
  <c r="C80" i="28"/>
  <c r="C81" i="28"/>
  <c r="C82" i="28"/>
  <c r="C83" i="28"/>
  <c r="C84" i="28"/>
  <c r="C86" i="28"/>
  <c r="C88" i="28"/>
  <c r="C90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E7" i="27"/>
  <c r="E8" i="27"/>
  <c r="E9" i="27"/>
  <c r="H9" i="27"/>
  <c r="H11" i="27"/>
  <c r="E16" i="27" s="1"/>
  <c r="E12" i="27"/>
  <c r="E13" i="27"/>
  <c r="E14" i="27"/>
  <c r="E15" i="27"/>
  <c r="H18" i="27"/>
  <c r="H25" i="27" s="1"/>
  <c r="E19" i="27"/>
  <c r="E20" i="27"/>
  <c r="E21" i="27"/>
  <c r="E22" i="27"/>
  <c r="H23" i="27"/>
  <c r="E26" i="27"/>
  <c r="E27" i="27"/>
  <c r="D28" i="27"/>
  <c r="H29" i="27"/>
  <c r="E17" i="27" l="1"/>
  <c r="E10" i="27"/>
  <c r="E25" i="27" s="1"/>
  <c r="E28" i="27" s="1"/>
  <c r="E24" i="27"/>
  <c r="E18" i="27"/>
  <c r="E11" i="27"/>
  <c r="E23" i="27"/>
  <c r="O1" i="26" l="1"/>
  <c r="E3" i="26"/>
  <c r="K3" i="26" s="1"/>
  <c r="L3" i="26" s="1"/>
  <c r="P3" i="26" s="1"/>
  <c r="J3" i="26"/>
  <c r="O3" i="26"/>
  <c r="E4" i="26"/>
  <c r="J4" i="26"/>
  <c r="K4" i="26"/>
  <c r="L4" i="26"/>
  <c r="O4" i="26"/>
  <c r="P4" i="26" s="1"/>
  <c r="E5" i="26"/>
  <c r="J5" i="26"/>
  <c r="K5" i="26" s="1"/>
  <c r="L5" i="26" s="1"/>
  <c r="P5" i="26" s="1"/>
  <c r="O5" i="26"/>
  <c r="E6" i="26"/>
  <c r="J6" i="26"/>
  <c r="K6" i="26"/>
  <c r="L6" i="26"/>
  <c r="O6" i="26"/>
  <c r="P6" i="26"/>
  <c r="E7" i="26"/>
  <c r="K7" i="26" s="1"/>
  <c r="L7" i="26" s="1"/>
  <c r="P7" i="26" s="1"/>
  <c r="J7" i="26"/>
  <c r="O7" i="26"/>
  <c r="E8" i="26"/>
  <c r="J8" i="26"/>
  <c r="K8" i="26"/>
  <c r="O8" i="26"/>
  <c r="P8" i="26" s="1"/>
  <c r="P20" i="26"/>
  <c r="V1" i="25"/>
  <c r="F3" i="25"/>
  <c r="L3" i="25" s="1"/>
  <c r="W3" i="25" s="1"/>
  <c r="K3" i="25"/>
  <c r="V3" i="25"/>
  <c r="F4" i="25"/>
  <c r="K4" i="25"/>
  <c r="L4" i="25"/>
  <c r="V4" i="25"/>
  <c r="W4" i="25" s="1"/>
  <c r="F5" i="25"/>
  <c r="K5" i="25"/>
  <c r="L5" i="25"/>
  <c r="V5" i="25"/>
  <c r="W5" i="25" s="1"/>
  <c r="F6" i="25"/>
  <c r="L6" i="25" s="1"/>
  <c r="K6" i="25"/>
  <c r="V6" i="25"/>
  <c r="W6" i="25" s="1"/>
  <c r="F7" i="25"/>
  <c r="K7" i="25"/>
  <c r="L7" i="25"/>
  <c r="V7" i="25"/>
  <c r="W7" i="25"/>
  <c r="F8" i="25"/>
  <c r="K8" i="25"/>
  <c r="L8" i="25"/>
  <c r="V8" i="25"/>
  <c r="W8" i="25"/>
  <c r="P11" i="26" l="1"/>
  <c r="P12" i="26" s="1"/>
  <c r="P10" i="26"/>
  <c r="P15" i="26" s="1"/>
  <c r="P16" i="26" s="1"/>
  <c r="W11" i="25"/>
  <c r="W12" i="25" s="1"/>
  <c r="W10" i="25"/>
  <c r="W14" i="25" l="1"/>
  <c r="W22" i="25" s="1"/>
  <c r="V19" i="25"/>
  <c r="W19" i="25" s="1"/>
  <c r="V20" i="25"/>
  <c r="W20" i="25" s="1"/>
  <c r="J7" i="12" l="1"/>
  <c r="J9" i="1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<sst xmlns="http://schemas.openxmlformats.org/spreadsheetml/2006/main" count="976" uniqueCount="754">
  <si>
    <t>Código</t>
  </si>
  <si>
    <t>Propósito</t>
  </si>
  <si>
    <t>Tipo avalúo</t>
  </si>
  <si>
    <t>Valor Comercial</t>
  </si>
  <si>
    <t>Empresa</t>
  </si>
  <si>
    <t>Los Rosales Constructora Inmobiliaria S.A.S</t>
  </si>
  <si>
    <t>Fecha de visita</t>
  </si>
  <si>
    <t xml:space="preserve">   DIRIGIDO A</t>
  </si>
  <si>
    <t>Dirigido A</t>
  </si>
  <si>
    <t xml:space="preserve">Tipo Identificación </t>
  </si>
  <si>
    <t>Documento</t>
  </si>
  <si>
    <t>Email</t>
  </si>
  <si>
    <t>Solicitante</t>
  </si>
  <si>
    <t>GRUPO BANCOLOMBIA S.A|890903938-8</t>
  </si>
  <si>
    <t>Caja Promotora de Vivienda Militar y de Policia | 860021967-7</t>
  </si>
  <si>
    <t>ANDRES FERNANDO ROMERO BALAGUERA</t>
  </si>
  <si>
    <t>Tipo de Cedula</t>
  </si>
  <si>
    <t>C.C.</t>
  </si>
  <si>
    <t>C.E.</t>
  </si>
  <si>
    <t>NIT.</t>
  </si>
  <si>
    <t>P.P.</t>
  </si>
  <si>
    <t>Teléfono</t>
  </si>
  <si>
    <t>Propietario</t>
  </si>
  <si>
    <t xml:space="preserve">    SOLICITANTE</t>
  </si>
  <si>
    <t xml:space="preserve">    PROPIETARIO</t>
  </si>
  <si>
    <t xml:space="preserve">    INFORMACIÓN</t>
  </si>
  <si>
    <t>Sector</t>
  </si>
  <si>
    <t>Barrio</t>
  </si>
  <si>
    <t>Urbano</t>
  </si>
  <si>
    <t>Rural</t>
  </si>
  <si>
    <t>Amazonas</t>
  </si>
  <si>
    <t>Leticia</t>
  </si>
  <si>
    <t>Antioquia</t>
  </si>
  <si>
    <t>Medellín</t>
  </si>
  <si>
    <t>Arauca</t>
  </si>
  <si>
    <t>Atlántico</t>
  </si>
  <si>
    <t>Barranquilla</t>
  </si>
  <si>
    <t>Bolívar</t>
  </si>
  <si>
    <t>Cartagena de Indias</t>
  </si>
  <si>
    <t>Boyacá</t>
  </si>
  <si>
    <t>Tunja</t>
  </si>
  <si>
    <t>Caldas</t>
  </si>
  <si>
    <t>Caquetá</t>
  </si>
  <si>
    <t>Casanare</t>
  </si>
  <si>
    <t>Cauca</t>
  </si>
  <si>
    <t>Cesar</t>
  </si>
  <si>
    <t>Chocó</t>
  </si>
  <si>
    <t>Córdoba</t>
  </si>
  <si>
    <t>Cundinamarca</t>
  </si>
  <si>
    <t>Guainía</t>
  </si>
  <si>
    <t>Guaviare</t>
  </si>
  <si>
    <t>Huila</t>
  </si>
  <si>
    <t>La Guajira</t>
  </si>
  <si>
    <t>Magdalena</t>
  </si>
  <si>
    <t>Meta</t>
  </si>
  <si>
    <t>Nariño</t>
  </si>
  <si>
    <t>Norte de Santander</t>
  </si>
  <si>
    <t>Putumayo</t>
  </si>
  <si>
    <t>Quindío</t>
  </si>
  <si>
    <t>Armenia</t>
  </si>
  <si>
    <t>Risaralda</t>
  </si>
  <si>
    <t>San Andrés y Providencia</t>
  </si>
  <si>
    <t>Santander</t>
  </si>
  <si>
    <t>Sucre</t>
  </si>
  <si>
    <t>Tolima</t>
  </si>
  <si>
    <t>Valle del Cauca</t>
  </si>
  <si>
    <t>Vaupés</t>
  </si>
  <si>
    <t>Vichada</t>
  </si>
  <si>
    <t>Departamento</t>
  </si>
  <si>
    <t>Casa</t>
  </si>
  <si>
    <t>Condiciones</t>
  </si>
  <si>
    <t>Construcción</t>
  </si>
  <si>
    <t>Terreno</t>
  </si>
  <si>
    <t>Terreno - Construcción</t>
  </si>
  <si>
    <t>Condicional</t>
  </si>
  <si>
    <t>Sí</t>
  </si>
  <si>
    <t>No</t>
  </si>
  <si>
    <t>Amaga</t>
  </si>
  <si>
    <t>Amalfi</t>
  </si>
  <si>
    <t>Barbosa</t>
  </si>
  <si>
    <t>Alejandria</t>
  </si>
  <si>
    <t>Bello</t>
  </si>
  <si>
    <t>Betania</t>
  </si>
  <si>
    <t>Bolombolo</t>
  </si>
  <si>
    <t>CARAMANTA</t>
  </si>
  <si>
    <t>Carolina del Príncipe</t>
  </si>
  <si>
    <t>Caucasia</t>
  </si>
  <si>
    <t>Chigorodo</t>
  </si>
  <si>
    <t>Ciudad Bolivar</t>
  </si>
  <si>
    <t>Ciudad Don Matías</t>
  </si>
  <si>
    <t>Cocorna</t>
  </si>
  <si>
    <t>Concordia</t>
  </si>
  <si>
    <t>Copacabana</t>
  </si>
  <si>
    <t>Dabeiba</t>
  </si>
  <si>
    <t>El Carmen de Viboral</t>
  </si>
  <si>
    <t>EL RETIRO</t>
  </si>
  <si>
    <t>Entrerrios</t>
  </si>
  <si>
    <t>Envigado</t>
  </si>
  <si>
    <t>Fredonia</t>
  </si>
  <si>
    <t>Frontino</t>
  </si>
  <si>
    <t>Giraldo</t>
  </si>
  <si>
    <t>Girardota</t>
  </si>
  <si>
    <t>Granada</t>
  </si>
  <si>
    <t>Guarne</t>
  </si>
  <si>
    <t>HELICONIA</t>
  </si>
  <si>
    <t>Hispania</t>
  </si>
  <si>
    <t>Itagüi</t>
  </si>
  <si>
    <t>La Ceja</t>
  </si>
  <si>
    <t>La dorada</t>
  </si>
  <si>
    <t>La estrella</t>
  </si>
  <si>
    <t>Maceo</t>
  </si>
  <si>
    <t>Marinilla</t>
  </si>
  <si>
    <t>Poblado Campestre</t>
  </si>
  <si>
    <t>Puerto Berrio</t>
  </si>
  <si>
    <t>Remedios</t>
  </si>
  <si>
    <t>Rio Negro</t>
  </si>
  <si>
    <t>Roldanillo</t>
  </si>
  <si>
    <t>Sabanalarga</t>
  </si>
  <si>
    <t>Sabaneta</t>
  </si>
  <si>
    <t>San Carlos</t>
  </si>
  <si>
    <t>San Luis</t>
  </si>
  <si>
    <t>San pedro de los milagros</t>
  </si>
  <si>
    <t>San Rafael</t>
  </si>
  <si>
    <t>San Vicente</t>
  </si>
  <si>
    <t xml:space="preserve">Santa barbara </t>
  </si>
  <si>
    <t>Santa Fe</t>
  </si>
  <si>
    <t>Santa Rosa de Osos</t>
  </si>
  <si>
    <t>Santo Domingo</t>
  </si>
  <si>
    <t>Segovia</t>
  </si>
  <si>
    <t>Sonson</t>
  </si>
  <si>
    <t>Sopetran</t>
  </si>
  <si>
    <t>Támesis</t>
  </si>
  <si>
    <t>Urrao</t>
  </si>
  <si>
    <t>Valdivia</t>
  </si>
  <si>
    <t>Yarumal</t>
  </si>
  <si>
    <t>Yolombo</t>
  </si>
  <si>
    <t xml:space="preserve">Arauca </t>
  </si>
  <si>
    <t>Arauquita</t>
  </si>
  <si>
    <t>Cravo Norte</t>
  </si>
  <si>
    <t>Fortul</t>
  </si>
  <si>
    <t>Puerto Rondon</t>
  </si>
  <si>
    <t>Saravena</t>
  </si>
  <si>
    <t>Tame</t>
  </si>
  <si>
    <t>Baranoa</t>
  </si>
  <si>
    <t>Campo de la Cruz</t>
  </si>
  <si>
    <t>Galapa</t>
  </si>
  <si>
    <t>La Paz</t>
  </si>
  <si>
    <t>Luruaco</t>
  </si>
  <si>
    <t>Malambo</t>
  </si>
  <si>
    <t>Palmar de varela</t>
  </si>
  <si>
    <t>Ponedera</t>
  </si>
  <si>
    <t>Puerto Colombia</t>
  </si>
  <si>
    <t>Sabana Grande</t>
  </si>
  <si>
    <t>SabanaLarga</t>
  </si>
  <si>
    <t>Santa Cruz</t>
  </si>
  <si>
    <t>Santo tomas</t>
  </si>
  <si>
    <t>Soledad</t>
  </si>
  <si>
    <t>Suan</t>
  </si>
  <si>
    <t>Usiacuri</t>
  </si>
  <si>
    <t>Arjona</t>
  </si>
  <si>
    <t>El carmen de bolívar</t>
  </si>
  <si>
    <t>Magangue</t>
  </si>
  <si>
    <t>Mompos</t>
  </si>
  <si>
    <t>Rio viejo</t>
  </si>
  <si>
    <t>San Estanislao</t>
  </si>
  <si>
    <t>San Jacinto</t>
  </si>
  <si>
    <t>San Juan Nepomuseno</t>
  </si>
  <si>
    <t>San Pablo</t>
  </si>
  <si>
    <t>Santa Rosa</t>
  </si>
  <si>
    <t>Talagiua Nuevo</t>
  </si>
  <si>
    <t>Talaigua</t>
  </si>
  <si>
    <t>Turbaco</t>
  </si>
  <si>
    <t>Aquitania</t>
  </si>
  <si>
    <t>Belen</t>
  </si>
  <si>
    <t>Chiquinquira</t>
  </si>
  <si>
    <t>Cuitiva</t>
  </si>
  <si>
    <t>Duitama</t>
  </si>
  <si>
    <t>Firavitoba</t>
  </si>
  <si>
    <t>Iza</t>
  </si>
  <si>
    <t>Jenesano</t>
  </si>
  <si>
    <t>Miraflores</t>
  </si>
  <si>
    <t>Mongui</t>
  </si>
  <si>
    <t>Moniquira</t>
  </si>
  <si>
    <t>Nobsa</t>
  </si>
  <si>
    <t>Paipa</t>
  </si>
  <si>
    <t>Puerto Boyaca</t>
  </si>
  <si>
    <t>Punta Larga</t>
  </si>
  <si>
    <t>Santa Rosa de Viterbo</t>
  </si>
  <si>
    <t>Santana</t>
  </si>
  <si>
    <t>Siachoque</t>
  </si>
  <si>
    <t>Sogamoso</t>
  </si>
  <si>
    <t>Sora</t>
  </si>
  <si>
    <t>Tibasosa</t>
  </si>
  <si>
    <t>Toca</t>
  </si>
  <si>
    <t>Topaga</t>
  </si>
  <si>
    <t>Turmeque</t>
  </si>
  <si>
    <t>Villa de Leyva</t>
  </si>
  <si>
    <t>Agua de Dios</t>
  </si>
  <si>
    <t>Anapoima</t>
  </si>
  <si>
    <t>Anolaima</t>
  </si>
  <si>
    <t>Apulo</t>
  </si>
  <si>
    <t>Arbeláez</t>
  </si>
  <si>
    <t>Bogotá D.C.</t>
  </si>
  <si>
    <t>Bojacá</t>
  </si>
  <si>
    <t>Cajicá</t>
  </si>
  <si>
    <t>caparrapi</t>
  </si>
  <si>
    <t>Cáqueza</t>
  </si>
  <si>
    <t>Chia</t>
  </si>
  <si>
    <t>Choachi</t>
  </si>
  <si>
    <t>Choconta</t>
  </si>
  <si>
    <t>Cogua</t>
  </si>
  <si>
    <t>Cota</t>
  </si>
  <si>
    <t>Cucunuba</t>
  </si>
  <si>
    <t>El colegio</t>
  </si>
  <si>
    <t>El Rosal</t>
  </si>
  <si>
    <t>Facatativá</t>
  </si>
  <si>
    <t>Fomeque</t>
  </si>
  <si>
    <t>Funza</t>
  </si>
  <si>
    <t>Fusagasugá</t>
  </si>
  <si>
    <t>Gachancipá</t>
  </si>
  <si>
    <t>Girardot</t>
  </si>
  <si>
    <t>Guaduas</t>
  </si>
  <si>
    <t>Guasca</t>
  </si>
  <si>
    <t>Junin</t>
  </si>
  <si>
    <t>La Calera</t>
  </si>
  <si>
    <t>La Mesa</t>
  </si>
  <si>
    <t>La Palma</t>
  </si>
  <si>
    <t>La Vega</t>
  </si>
  <si>
    <t>Lenguazaque</t>
  </si>
  <si>
    <t>Madrid</t>
  </si>
  <si>
    <t>Mambita</t>
  </si>
  <si>
    <t>Medina</t>
  </si>
  <si>
    <t>Mosquera</t>
  </si>
  <si>
    <t>Nemocon</t>
  </si>
  <si>
    <t>Nocaima</t>
  </si>
  <si>
    <t>Pacho</t>
  </si>
  <si>
    <t>Puerto Salgar</t>
  </si>
  <si>
    <t>Quebrada Negra</t>
  </si>
  <si>
    <t>Quetame</t>
  </si>
  <si>
    <t>Quipile</t>
  </si>
  <si>
    <t>Ricaurte</t>
  </si>
  <si>
    <t>SAN ANTONIO DE TEQUENDAMA</t>
  </si>
  <si>
    <t>San Bernardo</t>
  </si>
  <si>
    <t>San Cayetano</t>
  </si>
  <si>
    <t>San Francisco</t>
  </si>
  <si>
    <t>Sasaima</t>
  </si>
  <si>
    <t>Sesquile</t>
  </si>
  <si>
    <t>Sibate</t>
  </si>
  <si>
    <t>Silvania</t>
  </si>
  <si>
    <t>Simijaca</t>
  </si>
  <si>
    <t>Soacha</t>
  </si>
  <si>
    <t>Sopó</t>
  </si>
  <si>
    <t>Subachoque</t>
  </si>
  <si>
    <t>Tabio</t>
  </si>
  <si>
    <t>Tenjo</t>
  </si>
  <si>
    <t>Tibacuy</t>
  </si>
  <si>
    <t>Tocaima</t>
  </si>
  <si>
    <t>Tocancipá</t>
  </si>
  <si>
    <t>Ubaque</t>
  </si>
  <si>
    <t>Ubaté</t>
  </si>
  <si>
    <t>Usme</t>
  </si>
  <si>
    <t>Villapinzón</t>
  </si>
  <si>
    <t>Villeta</t>
  </si>
  <si>
    <t>Viota</t>
  </si>
  <si>
    <t>Zipacon</t>
  </si>
  <si>
    <t>Zipaquirá</t>
  </si>
  <si>
    <t>Departamentos</t>
  </si>
  <si>
    <t>Boyaca</t>
  </si>
  <si>
    <t>Ciudad</t>
  </si>
  <si>
    <t xml:space="preserve">    </t>
  </si>
  <si>
    <t>Apartaestudio</t>
  </si>
  <si>
    <t>Apartamento</t>
  </si>
  <si>
    <t>Bodega</t>
  </si>
  <si>
    <t>Edificio</t>
  </si>
  <si>
    <t>Estación de Servicio</t>
  </si>
  <si>
    <t>Finca</t>
  </si>
  <si>
    <t>Finca-Terreno</t>
  </si>
  <si>
    <t>Garaje</t>
  </si>
  <si>
    <t>Hotel</t>
  </si>
  <si>
    <t>Local</t>
  </si>
  <si>
    <t>Lote</t>
  </si>
  <si>
    <t>Lote - construcción</t>
  </si>
  <si>
    <t>Oficina</t>
  </si>
  <si>
    <t>Tipo Inmueble</t>
  </si>
  <si>
    <t>Dirección</t>
  </si>
  <si>
    <t>Ocupante</t>
  </si>
  <si>
    <t>Arrendatario</t>
  </si>
  <si>
    <t>Desocupado</t>
  </si>
  <si>
    <t xml:space="preserve">Ocupado </t>
  </si>
  <si>
    <t>Conjunto</t>
  </si>
  <si>
    <t>Observaciones de Localización    del Inmueble</t>
  </si>
  <si>
    <t>Uso Actual</t>
  </si>
  <si>
    <t>Vivienda</t>
  </si>
  <si>
    <t xml:space="preserve">Comercial </t>
  </si>
  <si>
    <t>Agrícola</t>
  </si>
  <si>
    <t>Agropecuario</t>
  </si>
  <si>
    <t>Comercial Local</t>
  </si>
  <si>
    <t>Comercial oficina</t>
  </si>
  <si>
    <t xml:space="preserve">Industrial </t>
  </si>
  <si>
    <t>Mixto</t>
  </si>
  <si>
    <t>Otro</t>
  </si>
  <si>
    <t>Clase inmueble</t>
  </si>
  <si>
    <t>Bifamiliar</t>
  </si>
  <si>
    <t xml:space="preserve">Comercio </t>
  </si>
  <si>
    <t>Industria</t>
  </si>
  <si>
    <t>Multifamiliar</t>
  </si>
  <si>
    <t>Unifamiliar</t>
  </si>
  <si>
    <t xml:space="preserve">  </t>
  </si>
  <si>
    <t>MERCADO</t>
  </si>
  <si>
    <t>RENTA</t>
  </si>
  <si>
    <t>REPOSICION</t>
  </si>
  <si>
    <t>RESIDUAL</t>
  </si>
  <si>
    <t>METODO MERCADO Y RENTA</t>
  </si>
  <si>
    <t>METODO MERCADO Y REPOSICION</t>
  </si>
  <si>
    <t>METODO MERCADO Y RESIDUAL</t>
  </si>
  <si>
    <t>METODO RENTA Y REPOSICION</t>
  </si>
  <si>
    <t>METODO RENTA Y RESIDUAL</t>
  </si>
  <si>
    <t>METODO REPOSICION Y RESIDUAL</t>
  </si>
  <si>
    <t>METODO MERCADO, RENTA Y REPOSICION</t>
  </si>
  <si>
    <t>METODO MERCADO, RENTA Y RESIDUAL</t>
  </si>
  <si>
    <t>METODO MERCADO, REPOSICION Y RESIDUAL</t>
  </si>
  <si>
    <t>Método evaluación</t>
  </si>
  <si>
    <t>*Pisos del inmueble</t>
  </si>
  <si>
    <t>* Método evaluación</t>
  </si>
  <si>
    <t>Justificación de Metodología</t>
  </si>
  <si>
    <t>Perspectivas de valoración</t>
  </si>
  <si>
    <t>Actualidad edificadora</t>
  </si>
  <si>
    <t>Comportamiento Oferta y Demanda</t>
  </si>
  <si>
    <t>Observación Reglamentación urbanística</t>
  </si>
  <si>
    <t>Fecha</t>
  </si>
  <si>
    <t>Notaria</t>
  </si>
  <si>
    <t>AMOBLAMIENTO URBANO</t>
  </si>
  <si>
    <t>Alumbrado</t>
  </si>
  <si>
    <t>Arborización</t>
  </si>
  <si>
    <t>Alamedas</t>
  </si>
  <si>
    <t>Ciclo rutas</t>
  </si>
  <si>
    <t>SERVICIOS PÚBLICOS</t>
  </si>
  <si>
    <t>Inmueble</t>
  </si>
  <si>
    <t>Energía</t>
  </si>
  <si>
    <t>Acueducto</t>
  </si>
  <si>
    <t>Uso predominante</t>
  </si>
  <si>
    <t>Área de actividad</t>
  </si>
  <si>
    <t>Demanda</t>
  </si>
  <si>
    <t>Estrato</t>
  </si>
  <si>
    <t xml:space="preserve">Ganaderia </t>
  </si>
  <si>
    <t>Comercial</t>
  </si>
  <si>
    <t>Mixta</t>
  </si>
  <si>
    <t>Residencial</t>
  </si>
  <si>
    <t xml:space="preserve">Debil </t>
  </si>
  <si>
    <t xml:space="preserve">Media </t>
  </si>
  <si>
    <t>Fuerte</t>
  </si>
  <si>
    <t>Industrial</t>
  </si>
  <si>
    <t>S/E</t>
  </si>
  <si>
    <t>Barrio legal</t>
  </si>
  <si>
    <t>Cond. de salubridad</t>
  </si>
  <si>
    <t>Topografía</t>
  </si>
  <si>
    <t>Transporte</t>
  </si>
  <si>
    <t>Inclinada</t>
  </si>
  <si>
    <t>Ligera</t>
  </si>
  <si>
    <t>Plana</t>
  </si>
  <si>
    <t>Bueno</t>
  </si>
  <si>
    <t>Malo</t>
  </si>
  <si>
    <t>Regular</t>
  </si>
  <si>
    <t>Nivel</t>
  </si>
  <si>
    <t>Muy Bueno</t>
  </si>
  <si>
    <t>No hay</t>
  </si>
  <si>
    <t>Distancia</t>
  </si>
  <si>
    <t>0-100</t>
  </si>
  <si>
    <t>100-200</t>
  </si>
  <si>
    <t>200-300</t>
  </si>
  <si>
    <t>400-500</t>
  </si>
  <si>
    <t>mas de 500</t>
  </si>
  <si>
    <t>CARACTERISTICAS</t>
  </si>
  <si>
    <t>EQUIPAMIENTO</t>
  </si>
  <si>
    <t>Zonas recreativas</t>
  </si>
  <si>
    <t>Áreas verdes</t>
  </si>
  <si>
    <t>Estacionamientos</t>
  </si>
  <si>
    <t>Asistencial</t>
  </si>
  <si>
    <t>Escolar</t>
  </si>
  <si>
    <t>IMPACTO AMBIENTAL</t>
  </si>
  <si>
    <t>Conservación</t>
  </si>
  <si>
    <t>Andenes</t>
  </si>
  <si>
    <t>Sardineles</t>
  </si>
  <si>
    <t>Vías pavimentadas</t>
  </si>
  <si>
    <t>Tipo de vía</t>
  </si>
  <si>
    <t>Observación del entorno</t>
  </si>
  <si>
    <t>Escritura de Propiedad Horizontal</t>
  </si>
  <si>
    <t>Fecha de escritura</t>
  </si>
  <si>
    <t>Ciudad escritura</t>
  </si>
  <si>
    <t>Valor administración</t>
  </si>
  <si>
    <t>Total unidades</t>
  </si>
  <si>
    <t>Solo Construcción</t>
  </si>
  <si>
    <t>Condiciones2</t>
  </si>
  <si>
    <t>#Pisos edificio</t>
  </si>
  <si>
    <t>Porteria</t>
  </si>
  <si>
    <t>Horario de vigilancia</t>
  </si>
  <si>
    <t>Horario vigilancia</t>
  </si>
  <si>
    <t>0 horas</t>
  </si>
  <si>
    <t>12 horas</t>
  </si>
  <si>
    <t>24 horas</t>
  </si>
  <si>
    <t>Tanque</t>
  </si>
  <si>
    <t>Citófono</t>
  </si>
  <si>
    <t>Cancha</t>
  </si>
  <si>
    <t>Zonas verdes</t>
  </si>
  <si>
    <t>Shut</t>
  </si>
  <si>
    <t>INFORMACIÓN</t>
  </si>
  <si>
    <t>Aire acondicionado</t>
  </si>
  <si>
    <t>Gimnasio</t>
  </si>
  <si>
    <t>Club</t>
  </si>
  <si>
    <t>Bomba eyectora</t>
  </si>
  <si>
    <t>Teatrino</t>
  </si>
  <si>
    <t>Sauna</t>
  </si>
  <si>
    <t>Blicicletero</t>
  </si>
  <si>
    <t>Garaje visitante</t>
  </si>
  <si>
    <t>Planta eléctrica</t>
  </si>
  <si>
    <t>Golfito</t>
  </si>
  <si>
    <t>Calefacción</t>
  </si>
  <si>
    <t>Jardín infantil</t>
  </si>
  <si>
    <t>Terraza comunal</t>
  </si>
  <si>
    <t>Piscinas</t>
  </si>
  <si>
    <t>#sotanos</t>
  </si>
  <si>
    <t>Ascensores</t>
  </si>
  <si>
    <t>Nro. Ascensores</t>
  </si>
  <si>
    <t>Observaciones propiedad</t>
  </si>
  <si>
    <t>INFORMACIÓN DEPENDENCIAS</t>
  </si>
  <si>
    <t>Numeros</t>
  </si>
  <si>
    <t>Sala</t>
  </si>
  <si>
    <t>Comedor</t>
  </si>
  <si>
    <t>Cocina</t>
  </si>
  <si>
    <t>Baños sociales</t>
  </si>
  <si>
    <t>Baños privados</t>
  </si>
  <si>
    <t>Patio Interior</t>
  </si>
  <si>
    <t>Habitaciones</t>
  </si>
  <si>
    <t>Closet</t>
  </si>
  <si>
    <t>Estar</t>
  </si>
  <si>
    <t>Estudio</t>
  </si>
  <si>
    <t>Cuarto de sevicio</t>
  </si>
  <si>
    <t>Sencilla</t>
  </si>
  <si>
    <t xml:space="preserve">No hay </t>
  </si>
  <si>
    <t>Semi-integral</t>
  </si>
  <si>
    <t>Integral</t>
  </si>
  <si>
    <t>Baños servicio</t>
  </si>
  <si>
    <t>Zona ropas</t>
  </si>
  <si>
    <t>Balcón</t>
  </si>
  <si>
    <t>Jardin</t>
  </si>
  <si>
    <t>Zona verde</t>
  </si>
  <si>
    <t>Ventilación</t>
  </si>
  <si>
    <t>Iluminación</t>
  </si>
  <si>
    <t>Descripción  dependencia</t>
  </si>
  <si>
    <t>Optimo</t>
  </si>
  <si>
    <t>Estado</t>
  </si>
  <si>
    <t>Industrializado</t>
  </si>
  <si>
    <t>Metálico</t>
  </si>
  <si>
    <t>Tradicional</t>
  </si>
  <si>
    <t>Estructura</t>
  </si>
  <si>
    <t>Bloque</t>
  </si>
  <si>
    <t>Drywall</t>
  </si>
  <si>
    <t>Ladrillo</t>
  </si>
  <si>
    <t>Superboard</t>
  </si>
  <si>
    <t>Vidrio</t>
  </si>
  <si>
    <t>Material</t>
  </si>
  <si>
    <t>Mampostería Confinada</t>
  </si>
  <si>
    <t>Muros de carga</t>
  </si>
  <si>
    <t>reticular celulado</t>
  </si>
  <si>
    <t>sistema dual o combinado</t>
  </si>
  <si>
    <t>Tipo Estructura</t>
  </si>
  <si>
    <t>Placa de concreto</t>
  </si>
  <si>
    <t>Placa Fácil</t>
  </si>
  <si>
    <t>Cubierta</t>
  </si>
  <si>
    <t xml:space="preserve">					</t>
  </si>
  <si>
    <t>Fachada</t>
  </si>
  <si>
    <t>Ancho Fachada</t>
  </si>
  <si>
    <t>0-3 metros</t>
  </si>
  <si>
    <t xml:space="preserve">3-6 metros </t>
  </si>
  <si>
    <t>6-9 metros</t>
  </si>
  <si>
    <t>Mayor 9 metros</t>
  </si>
  <si>
    <t>Tipología de vivienda</t>
  </si>
  <si>
    <t>Casa continua</t>
  </si>
  <si>
    <t>Casa Aislada</t>
  </si>
  <si>
    <t>Edificio en Altura - Piso en Manzana</t>
  </si>
  <si>
    <t>Edificio en Altura - Piso en bloque aislado</t>
  </si>
  <si>
    <t>Estado Construcción</t>
  </si>
  <si>
    <t>En Obra</t>
  </si>
  <si>
    <t>Nueva</t>
  </si>
  <si>
    <t>Usada</t>
  </si>
  <si>
    <t>Estado de la conservación</t>
  </si>
  <si>
    <t xml:space="preserve">Estructura reforzada </t>
  </si>
  <si>
    <t>No disponible</t>
  </si>
  <si>
    <t>Condicional 2</t>
  </si>
  <si>
    <t>Material construcción</t>
  </si>
  <si>
    <t>Bareque</t>
  </si>
  <si>
    <t>Adobe</t>
  </si>
  <si>
    <t>Concreto reforzado</t>
  </si>
  <si>
    <t>Madera</t>
  </si>
  <si>
    <t>Mixtas</t>
  </si>
  <si>
    <t>Tapia</t>
  </si>
  <si>
    <t>Mampostería reforzada- dovelas</t>
  </si>
  <si>
    <t>Muros de adobe</t>
  </si>
  <si>
    <t>Pórticos</t>
  </si>
  <si>
    <t>Pórticos arriostrados</t>
  </si>
  <si>
    <t>Pórticos y paneles de madera</t>
  </si>
  <si>
    <t>Paneles prefabricados</t>
  </si>
  <si>
    <t>Teja de barro</t>
  </si>
  <si>
    <t>Teja de fibrocemento</t>
  </si>
  <si>
    <t>Teja metalica</t>
  </si>
  <si>
    <t>Teja plastica</t>
  </si>
  <si>
    <t>Concreto texturizado</t>
  </si>
  <si>
    <t>Flotante</t>
  </si>
  <si>
    <t>Graniplast</t>
  </si>
  <si>
    <t>Ladrillo a la vista</t>
  </si>
  <si>
    <t>Fecha Remodelación</t>
  </si>
  <si>
    <t>Daño por Sismos</t>
  </si>
  <si>
    <t>Ajuste sismos resistentes</t>
  </si>
  <si>
    <t>Irregularidad planta</t>
  </si>
  <si>
    <t>Irregularidad Altura</t>
  </si>
  <si>
    <t>Tipologia de vivienda</t>
  </si>
  <si>
    <t>Otro tipologia vivienda</t>
  </si>
  <si>
    <t>Vida util(Años)</t>
  </si>
  <si>
    <t xml:space="preserve">Año construcción </t>
  </si>
  <si>
    <t>Edad Inmueble        (Años)</t>
  </si>
  <si>
    <t>%Avance</t>
  </si>
  <si>
    <t>Remodelado</t>
  </si>
  <si>
    <t>Observación estructura</t>
  </si>
  <si>
    <t>Acabados</t>
  </si>
  <si>
    <t>Lujoso</t>
  </si>
  <si>
    <t>Normal</t>
  </si>
  <si>
    <t>Sencillo</t>
  </si>
  <si>
    <t>Sin Acabado</t>
  </si>
  <si>
    <t>Estados 2</t>
  </si>
  <si>
    <t xml:space="preserve">Bueno </t>
  </si>
  <si>
    <t>Baño</t>
  </si>
  <si>
    <t>Piso</t>
  </si>
  <si>
    <t>Techo</t>
  </si>
  <si>
    <t>Muro</t>
  </si>
  <si>
    <t>Carpintería</t>
  </si>
  <si>
    <t>DETALLE</t>
  </si>
  <si>
    <t>CALIDAD</t>
  </si>
  <si>
    <t>ESTADO</t>
  </si>
  <si>
    <t>Observación acabados</t>
  </si>
  <si>
    <t>MAPA</t>
  </si>
  <si>
    <t>Latitud</t>
  </si>
  <si>
    <t>Longitud</t>
  </si>
  <si>
    <t>MAGNA SIRGAS</t>
  </si>
  <si>
    <t>GEOGRAFICAS</t>
  </si>
  <si>
    <t>Escritura</t>
  </si>
  <si>
    <t>Nro Escritura</t>
  </si>
  <si>
    <t xml:space="preserve">Tipo </t>
  </si>
  <si>
    <t>Código catastral</t>
  </si>
  <si>
    <t>Detalle</t>
  </si>
  <si>
    <t>Nro. Matrícula</t>
  </si>
  <si>
    <t>Coeficiente</t>
  </si>
  <si>
    <t>Chip</t>
  </si>
  <si>
    <t>Nro Matricula</t>
  </si>
  <si>
    <t>Código Catastral</t>
  </si>
  <si>
    <t>Matrículas</t>
  </si>
  <si>
    <t>Observaciones</t>
  </si>
  <si>
    <t>Observación jurídica</t>
  </si>
  <si>
    <t>Número</t>
  </si>
  <si>
    <t>Cubierto</t>
  </si>
  <si>
    <t>Tipo</t>
  </si>
  <si>
    <t>Capacidad</t>
  </si>
  <si>
    <t>Matrícula</t>
  </si>
  <si>
    <t>Forma</t>
  </si>
  <si>
    <t>Area</t>
  </si>
  <si>
    <t>Unidad</t>
  </si>
  <si>
    <t xml:space="preserve">Número </t>
  </si>
  <si>
    <t>Común asignado</t>
  </si>
  <si>
    <t>Común uso exclusivo</t>
  </si>
  <si>
    <t>Integral a la casa</t>
  </si>
  <si>
    <t>Privado</t>
  </si>
  <si>
    <t xml:space="preserve">Sencillo </t>
  </si>
  <si>
    <t>Doble</t>
  </si>
  <si>
    <t xml:space="preserve">Lineal </t>
  </si>
  <si>
    <t>Paralelo</t>
  </si>
  <si>
    <t>Mt2</t>
  </si>
  <si>
    <t>Global</t>
  </si>
  <si>
    <t>Garajes</t>
  </si>
  <si>
    <t>Dépositos</t>
  </si>
  <si>
    <t>Tipo 3</t>
  </si>
  <si>
    <t xml:space="preserve">Matricula </t>
  </si>
  <si>
    <t xml:space="preserve"> </t>
  </si>
  <si>
    <t>Forma Geometrica</t>
  </si>
  <si>
    <t>Frente</t>
  </si>
  <si>
    <t>Fondo</t>
  </si>
  <si>
    <t>Relación frente fondo</t>
  </si>
  <si>
    <t>VIAS,ANDENES Y SARDINELES</t>
  </si>
  <si>
    <t>Aire</t>
  </si>
  <si>
    <t>Aguas</t>
  </si>
  <si>
    <t>Basura</t>
  </si>
  <si>
    <t>Inseguridad</t>
  </si>
  <si>
    <t>Ruido</t>
  </si>
  <si>
    <t>Fotos</t>
  </si>
  <si>
    <t>REGLAMENTACION URBANISTICA</t>
  </si>
  <si>
    <t>Bogotá</t>
  </si>
  <si>
    <t>Avaluo</t>
  </si>
  <si>
    <t>Condiciones:</t>
  </si>
  <si>
    <t>Sometida a PH</t>
  </si>
  <si>
    <t>samiro@gmail.com</t>
  </si>
  <si>
    <t>Dirección: CRA 89 A No 77-12 AP. 506</t>
  </si>
  <si>
    <t>Bogota, D.C.  Colombia</t>
  </si>
  <si>
    <t>Tel: 312 4024102</t>
  </si>
  <si>
    <t>E-Mail:  superinmobiliariac@gmail.com</t>
  </si>
  <si>
    <t xml:space="preserve">PROF. EN NEGOCIOS INTERNACIONALES                                                                             </t>
  </si>
  <si>
    <t xml:space="preserve">TÉCNICO EN AVALÚOS DE BIENES  MUEBLES (MAQUINARIA Y EQUIPO) </t>
  </si>
  <si>
    <t>E INMUEBLES URBANOS – RURALES Y ESPECIALES.</t>
  </si>
  <si>
    <t>Andres Romero - Samuel Andres Romero Bueno</t>
  </si>
  <si>
    <t>Candelaria</t>
  </si>
  <si>
    <t>Carrera 89 A #77-12</t>
  </si>
  <si>
    <t>Portomadero - garage</t>
  </si>
  <si>
    <t>50M35MKS</t>
  </si>
  <si>
    <t xml:space="preserve"> FOTO PRINCIPAL</t>
  </si>
  <si>
    <t>Fecha de avalúo</t>
  </si>
  <si>
    <t>Blanca Elena y Maria de los Angeles</t>
  </si>
  <si>
    <t>Proceso</t>
  </si>
  <si>
    <t>Avaluo Comercial</t>
  </si>
  <si>
    <t>Localización</t>
  </si>
  <si>
    <t>Perito  Avaluador</t>
  </si>
  <si>
    <t>ITEM</t>
  </si>
  <si>
    <t xml:space="preserve">DECRIPCIÓN DIRECCIÓN </t>
  </si>
  <si>
    <t># DE PISO</t>
  </si>
  <si>
    <t>V/R VENTA</t>
  </si>
  <si>
    <t>NEG.</t>
  </si>
  <si>
    <t>V/R. DEPURADO</t>
  </si>
  <si>
    <t>#GJ.</t>
  </si>
  <si>
    <t>V/R UND. GJ.</t>
  </si>
  <si>
    <t>#DPTO. Y OTROS</t>
  </si>
  <si>
    <t>V/R DPTOS. Y OTROS</t>
  </si>
  <si>
    <t>V/R GJ. DPTOS. Y OTROS</t>
  </si>
  <si>
    <t>V/R M2.</t>
  </si>
  <si>
    <t>TELEFONO</t>
  </si>
  <si>
    <t>EDAD</t>
  </si>
  <si>
    <t>ÁREA DE CONSTRUCCIÓN</t>
  </si>
  <si>
    <t>ÁREA PRIVADA</t>
  </si>
  <si>
    <t>FAC. HOMG. ACABADOS</t>
  </si>
  <si>
    <t>FAC. HOMG. POR EDAD</t>
  </si>
  <si>
    <t>FAC. HOMG. POR PISO</t>
  </si>
  <si>
    <t>FAC. HOMG. TAMAÑO</t>
  </si>
  <si>
    <t>FAC. HOMG. UBICACIÓN</t>
  </si>
  <si>
    <t>RESULT. FACTORES DE HOMOLOGACIÓN</t>
  </si>
  <si>
    <t>V/R HOMOLOGADO</t>
  </si>
  <si>
    <t>MISMO CONJUNTO</t>
  </si>
  <si>
    <t>MISMO SECTOR</t>
  </si>
  <si>
    <t>No. DE DATOS SELEC.</t>
  </si>
  <si>
    <t>PROMEDIO</t>
  </si>
  <si>
    <t>DESV. ESTANDAR</t>
  </si>
  <si>
    <t>COEFC. VARIACIÓN</t>
  </si>
  <si>
    <t>V/R ADOPTADO  M2.</t>
  </si>
  <si>
    <t>ÁREA CONSTRUIDA</t>
  </si>
  <si>
    <t xml:space="preserve">POR M2. </t>
  </si>
  <si>
    <t>TOTAL</t>
  </si>
  <si>
    <t>V/R. MÁXIMO</t>
  </si>
  <si>
    <t>V/R. MINIMO</t>
  </si>
  <si>
    <t>VALOR TOTAL</t>
  </si>
  <si>
    <t xml:space="preserve">ENLACE WEB OFERTA 1 </t>
  </si>
  <si>
    <t xml:space="preserve">OFERTA TOMADA DEL MISMO CONJUNTO </t>
  </si>
  <si>
    <t>ENLACE WEB OFERTA 2</t>
  </si>
  <si>
    <t>https://www.metrocuadrado.com/inmueble/venta-apartamento-bogota-timiza-a-3-habitaciones-1-banos/164-M3045033</t>
  </si>
  <si>
    <t>ENLACE WEB OFERTA 3</t>
  </si>
  <si>
    <t>https://www.metrocuadrado.com/inmueble/venta-apartamento-bogota-lago-timiza-ii-3-habitaciones-1-banos/MC26098372</t>
  </si>
  <si>
    <t>ENLACE WEB OFERTA 4</t>
  </si>
  <si>
    <t>https://www.properati.com.co/detalle/25zkt_venta_apartamento_timiza_ciclorutas-de-bogota_parqueadero_primer-piso_sala-comedor_bypinmobiliarioscom?gallery=false</t>
  </si>
  <si>
    <t>ENLACE WEB OFERTA 5</t>
  </si>
  <si>
    <t>ENLACE WEB OFERTA 6</t>
  </si>
  <si>
    <t>ÁREA DE TERRENO</t>
  </si>
  <si>
    <t>V/R. M2. CONSTRUCCIÓN</t>
  </si>
  <si>
    <t>V/R. CONSTRUCCIÓN</t>
  </si>
  <si>
    <t>V/R. TOTAL SIN CONSTRUCCIÓN</t>
  </si>
  <si>
    <t>V/R. TERRENO M2.</t>
  </si>
  <si>
    <t>FAC. DE HOMOLOGAC. TAMAÑO</t>
  </si>
  <si>
    <t>FAC. DE HOMOLOGAC.UBICACIÓN</t>
  </si>
  <si>
    <t>RESULT. HOMOLOGACIÓN</t>
  </si>
  <si>
    <t>No. DE DATOS SELECCIONADOS</t>
  </si>
  <si>
    <t>V/R. ADOPTADO</t>
  </si>
  <si>
    <t>https://www.metrocuadrado.com/inmueble/venta-casa-bogota-urbanizacion-castilla-5-habitaciones-5-banos-2-garajes/10159-M3018982</t>
  </si>
  <si>
    <t>https://www.metrocuadrado.com/inmueble/venta-casa-bogota-bavaria-techo-iii-5-habitaciones-4-banos-2-garajes/164-M3045016</t>
  </si>
  <si>
    <t>https://www.metrocuadrado.com/inmueble/venta-casa-bogota-bavaria-4-habitaciones-2-banos-3-garajes/11139-1144157</t>
  </si>
  <si>
    <t>https://www.metrocuadrado.com/inmueble/venta-casa-bogota-el-portal-de-las-americas-4-habitaciones-2-banos-1-garajes/VENT-05053101</t>
  </si>
  <si>
    <t>https://www.metrocuadrado.com/inmueble/venta-casa-bogota-castilla-5-habitaciones-4-banos-3-garajes/488-M2945697</t>
  </si>
  <si>
    <t>CÁLCULOS</t>
  </si>
  <si>
    <t xml:space="preserve">OBSERVACIONES: Clase 3: El inmueble necesita reparaciones sencillas por ejemplo en los pisos o
pañetes. </t>
  </si>
  <si>
    <t>VALOR TOTAL:</t>
  </si>
  <si>
    <t>TOTAL PRESUPUESTO</t>
  </si>
  <si>
    <t>VALOR ADOPTADO REPOSICION DEPRESIADO</t>
  </si>
  <si>
    <t>A.I.U</t>
  </si>
  <si>
    <t>COSTO FINANCIERO</t>
  </si>
  <si>
    <t>VALOR DE REPOSIC.M2 DEPRECIDADO</t>
  </si>
  <si>
    <t>SUBTOTAL</t>
  </si>
  <si>
    <t>FITTO Y CORVINI</t>
  </si>
  <si>
    <t>EQUIPOS ESPECIALES</t>
  </si>
  <si>
    <t>VIDAD REMANENTE (%)</t>
  </si>
  <si>
    <t>VIDRIOS</t>
  </si>
  <si>
    <t>VETUSTEZ</t>
  </si>
  <si>
    <t>CERRAJERIA</t>
  </si>
  <si>
    <t>VIDA UTIL</t>
  </si>
  <si>
    <t>APARATOS SANITARIOS</t>
  </si>
  <si>
    <t>CALIF. ESTADO CONSERVACION</t>
  </si>
  <si>
    <t>PINTURA</t>
  </si>
  <si>
    <t>CARP METALICA</t>
  </si>
  <si>
    <t xml:space="preserve">VR REPOSICION M2 AJUSTADO </t>
  </si>
  <si>
    <t>CARP MADERA</t>
  </si>
  <si>
    <t>INST HIDRAULICAS</t>
  </si>
  <si>
    <t>INST ELECTRICAS</t>
  </si>
  <si>
    <t>%</t>
  </si>
  <si>
    <t>FACTOR DE AJUSTE</t>
  </si>
  <si>
    <t>ENCHAPES</t>
  </si>
  <si>
    <t>FECHA</t>
  </si>
  <si>
    <t>PISOS</t>
  </si>
  <si>
    <t>CINSTRUDATA</t>
  </si>
  <si>
    <t>FUENTE</t>
  </si>
  <si>
    <t>CUBIERTA</t>
  </si>
  <si>
    <t>MAMPOSTERIA</t>
  </si>
  <si>
    <t>VALOR DE REPOSICION M2  PRESUPUESTO</t>
  </si>
  <si>
    <t>ESTRUCTURA</t>
  </si>
  <si>
    <t>INSTALACIONES. SUBTERR.</t>
  </si>
  <si>
    <t>VALOR DE REPOSICION M2</t>
  </si>
  <si>
    <t>DESAGUES</t>
  </si>
  <si>
    <t xml:space="preserve">VALOR M2 CONSTRUIDO  </t>
  </si>
  <si>
    <t>CIMENTACION</t>
  </si>
  <si>
    <t>AREA CONSTRUIDA VENDIBLE</t>
  </si>
  <si>
    <t>PRELIMINARES</t>
  </si>
  <si>
    <t>AREA CONSTRUIDA TOTAL</t>
  </si>
  <si>
    <t>VR CAPITULO</t>
  </si>
  <si>
    <t>CAPITULO</t>
  </si>
  <si>
    <t>PRESUPUESTO ACTUALIZADO</t>
  </si>
  <si>
    <t>COSTO DE REPOSICION CONSTRUCCION NUEVA</t>
  </si>
  <si>
    <t xml:space="preserve"> MEMORIA DE CALCULO REPOSICIÓN</t>
  </si>
  <si>
    <t>AMENAZA RUINA, EN MAL ESTADO</t>
  </si>
  <si>
    <t xml:space="preserve">CLASE 5: </t>
  </si>
  <si>
    <t>NECESITA REPARACIONES IMPORTANTES EN ESTRUCTURA</t>
  </si>
  <si>
    <t xml:space="preserve">CLASE 4: </t>
  </si>
  <si>
    <t>NECESITA REPARACIONES SENCILLAS EN PISOS Y PAÑETES</t>
  </si>
  <si>
    <t xml:space="preserve">CLASE 3: </t>
  </si>
  <si>
    <t>BIEN CAONSERVADO, NECESITA REPARACIONES EN ACABADOS</t>
  </si>
  <si>
    <t xml:space="preserve">CLASE 2: </t>
  </si>
  <si>
    <t>BIEN CONSERVADO , NO NECESITA REPARACIONES EN ACABADOS</t>
  </si>
  <si>
    <t xml:space="preserve">CLASE1: </t>
  </si>
  <si>
    <t>Edad en % de la vida UTIL</t>
  </si>
  <si>
    <t>ESTADO DE CONSERVACION</t>
  </si>
  <si>
    <t>DEPRECIACIÓN TOTAL DE UNA CONSTRUCCIÓN EN % DE SU VALOR A NUEVO DEBIDA A SU EDAD Y ESTADO DE CONSERVACIÓN</t>
  </si>
  <si>
    <t>FITO Y CORVINI</t>
  </si>
  <si>
    <t>Tipo de Área</t>
  </si>
  <si>
    <t>Descripción</t>
  </si>
  <si>
    <t>Área</t>
  </si>
  <si>
    <t>Valor Unitario</t>
  </si>
  <si>
    <t>Valor Total</t>
  </si>
  <si>
    <t xml:space="preserve">Tipo de Área </t>
  </si>
  <si>
    <t xml:space="preserve"> Tipo de Área</t>
  </si>
  <si>
    <t xml:space="preserve">Area Privada </t>
  </si>
  <si>
    <t>Area Privada Libre</t>
  </si>
  <si>
    <t>M2</t>
  </si>
  <si>
    <t>ML</t>
  </si>
  <si>
    <t>Ha</t>
  </si>
  <si>
    <t>CASA 1</t>
  </si>
  <si>
    <t>Valor en letras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</si>
</sst>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&quot;$&quot;\ #,##0.00"/>
    <numFmt numFmtId="165" formatCode="0.000"/>
    <numFmt numFmtId="166" formatCode="_-* #,##0.00\ _p_t_a_-;\-* #,##0.00\ _p_t_a_-;_-* &quot;-&quot;??\ _p_t_a_-;_-@_-"/>
    <numFmt numFmtId="167" formatCode="_-&quot;$&quot;\ * #,##0_-;\-&quot;$&quot;\ * #,##0_-;_-&quot;$&quot;\ * &quot;-&quot;??_-;_-@_-"/>
    <numFmt numFmtId="168" formatCode="_-&quot;$&quot;* #,##0.00_-;\-&quot;$&quot;* #,##0.00_-;_-&quot;$&quot;* &quot;-&quot;??_-;_-@_-"/>
    <numFmt numFmtId="169" formatCode="_ &quot;$&quot;\ * #,##0_ ;_ &quot;$&quot;\ * \-#,##0_ ;_ &quot;$&quot;\ * &quot;-&quot;??_ ;_ @_ "/>
    <numFmt numFmtId="170" formatCode="_(&quot;$&quot;\ * #,##0_);_(&quot;$&quot;\ * \(#,##0\);_(&quot;$&quot;\ * &quot;-&quot;??_);_(@_)"/>
    <numFmt numFmtId="171" formatCode="&quot;$&quot;#,##0.00"/>
    <numFmt numFmtId="172" formatCode="_(* #,##0.00_);_(* \(#,##0.00\);_(* &quot;-&quot;??_);_(@_)"/>
  </numFmts>
  <fonts count="39" x14ac:knownFonts="1">
    <font>
      <sz val="11"/>
      <color theme="1"/>
      <name val="Calibri"/>
      <family val="2"/>
      <scheme val="minor"/>
    </font>
    <font>
      <sz val="14"/>
      <color theme="1"/>
      <name val="Arial Nova Cond"/>
      <family val="2"/>
    </font>
    <font>
      <sz val="12"/>
      <color theme="1"/>
      <name val="Bell MT"/>
      <family val="1"/>
    </font>
    <font>
      <b/>
      <sz val="12"/>
      <color theme="1"/>
      <name val="Bell MT"/>
      <family val="1"/>
    </font>
    <font>
      <sz val="11"/>
      <color theme="1"/>
      <name val="Arial Nova Cond"/>
      <family val="2"/>
    </font>
    <font>
      <sz val="14"/>
      <color theme="0"/>
      <name val="Arial Nova Cond"/>
      <family val="2"/>
    </font>
    <font>
      <sz val="10"/>
      <color rgb="FF212529"/>
      <name val="Segoe UI"/>
      <family val="2"/>
    </font>
    <font>
      <sz val="11"/>
      <color theme="1"/>
      <name val="Calibri"/>
      <family val="2"/>
      <scheme val="minor"/>
    </font>
    <font>
      <sz val="12"/>
      <color theme="1"/>
      <name val="Arial Nova Cond"/>
      <family val="2"/>
    </font>
    <font>
      <b/>
      <sz val="14"/>
      <color theme="1"/>
      <name val="Arial Nova Cond"/>
      <family val="2"/>
    </font>
    <font>
      <sz val="8"/>
      <color rgb="FF5F7676"/>
      <name val="Segoe UI"/>
      <family val="2"/>
    </font>
    <font>
      <sz val="10"/>
      <name val="Arial"/>
      <family val="2"/>
    </font>
    <font>
      <b/>
      <sz val="14"/>
      <color theme="0"/>
      <name val="Arial Nova Cond"/>
      <family val="2"/>
    </font>
    <font>
      <u/>
      <sz val="11"/>
      <color theme="1"/>
      <name val="Calibri"/>
      <family val="2"/>
      <scheme val="minor"/>
    </font>
    <font>
      <sz val="14"/>
      <color theme="1"/>
      <name val="Bell MT"/>
      <family val="1"/>
    </font>
    <font>
      <u/>
      <sz val="14"/>
      <color theme="1"/>
      <name val="Bell MT"/>
      <family val="1"/>
    </font>
    <font>
      <u/>
      <sz val="11"/>
      <color theme="10"/>
      <name val="Calibri"/>
      <family val="2"/>
      <scheme val="minor"/>
    </font>
    <font>
      <sz val="12"/>
      <color theme="10"/>
      <name val="Bell MT"/>
      <family val="1"/>
    </font>
    <font>
      <b/>
      <sz val="18"/>
      <name val="Arial"/>
      <family val="2"/>
    </font>
    <font>
      <sz val="11"/>
      <name val="Arial"/>
      <family val="2"/>
    </font>
    <font>
      <sz val="12"/>
      <color theme="0" tint="-0.34998626667073579"/>
      <name val="Arial"/>
      <family val="2"/>
    </font>
    <font>
      <sz val="16"/>
      <color theme="1"/>
      <name val="Arial Nova Cond"/>
      <family val="2"/>
    </font>
    <font>
      <b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9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theme="1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8"/>
      <name val="Arial"/>
      <family val="2"/>
    </font>
    <font>
      <i/>
      <sz val="8"/>
      <name val="Arial"/>
      <family val="2"/>
    </font>
    <font>
      <b/>
      <sz val="8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</font>
    <font>
      <sz val="11"/>
      <color indexed="8"/>
      <name val="Garamond"/>
      <family val="1"/>
    </font>
    <font>
      <b/>
      <sz val="11"/>
      <color indexed="8"/>
      <name val="Garamond"/>
      <family val="1"/>
    </font>
    <font>
      <b/>
      <sz val="16"/>
      <color indexed="8"/>
      <name val="Garamond"/>
      <family val="1"/>
    </font>
  </fonts>
  <fills count="1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/>
        <bgColor theme="6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6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9">
    <xf numFmtId="0" fontId="0" fillId="0" borderId="0"/>
    <xf numFmtId="4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166" fontId="11" fillId="0" borderId="0" applyFont="0" applyFill="0" applyBorder="0" applyAlignment="0" applyProtection="0"/>
    <xf numFmtId="0" fontId="16" fillId="0" borderId="0" applyNumberFormat="0" applyFill="0" applyBorder="0" applyAlignment="0" applyProtection="0"/>
    <xf numFmtId="9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72" fontId="7" fillId="0" borderId="0" applyFont="0" applyFill="0" applyBorder="0" applyAlignment="0" applyProtection="0"/>
    <xf numFmtId="0" fontId="35" fillId="0" borderId="0"/>
  </cellStyleXfs>
  <cellXfs count="395">
    <xf numFmtId="0" fontId="0" fillId="0" borderId="0" xfId="0"/>
    <xf numFmtId="0" fontId="1" fillId="0" borderId="0" xfId="0" applyFont="1"/>
    <xf numFmtId="0" fontId="3" fillId="0" borderId="0" xfId="0" applyFont="1"/>
    <xf numFmtId="14" fontId="0" fillId="0" borderId="0" xfId="0" applyNumberFormat="1"/>
    <xf numFmtId="0" fontId="1" fillId="0" borderId="0" xfId="0" applyFont="1" applyAlignment="1">
      <alignment vertical="top"/>
    </xf>
    <xf numFmtId="0" fontId="6" fillId="6" borderId="0" xfId="0" applyFont="1" applyFill="1" applyBorder="1" applyAlignment="1">
      <alignment vertical="center" wrapText="1"/>
    </xf>
    <xf numFmtId="0" fontId="0" fillId="0" borderId="0" xfId="0" applyBorder="1"/>
    <xf numFmtId="0" fontId="6" fillId="6" borderId="8" xfId="0" applyFont="1" applyFill="1" applyBorder="1" applyAlignment="1">
      <alignment vertical="center" wrapText="1"/>
    </xf>
    <xf numFmtId="0" fontId="6" fillId="6" borderId="6" xfId="0" applyFont="1" applyFill="1" applyBorder="1" applyAlignment="1">
      <alignment vertical="center" wrapText="1"/>
    </xf>
    <xf numFmtId="0" fontId="6" fillId="6" borderId="7" xfId="0" applyFont="1" applyFill="1" applyBorder="1" applyAlignment="1">
      <alignment vertical="center" wrapText="1"/>
    </xf>
    <xf numFmtId="0" fontId="1" fillId="0" borderId="0" xfId="0" applyFont="1" applyAlignment="1"/>
    <xf numFmtId="0" fontId="0" fillId="4" borderId="0" xfId="0" applyFill="1" applyBorder="1" applyAlignment="1"/>
    <xf numFmtId="0" fontId="5" fillId="4" borderId="0" xfId="0" applyFont="1" applyFill="1" applyAlignment="1"/>
    <xf numFmtId="0" fontId="1" fillId="0" borderId="0" xfId="0" applyFont="1" applyAlignment="1">
      <alignment wrapText="1"/>
    </xf>
    <xf numFmtId="0" fontId="1" fillId="0" borderId="5" xfId="0" applyFont="1" applyBorder="1" applyAlignment="1">
      <alignment wrapText="1"/>
    </xf>
    <xf numFmtId="0" fontId="0" fillId="0" borderId="0" xfId="0" applyAlignment="1">
      <alignment horizontal="left"/>
    </xf>
    <xf numFmtId="0" fontId="1" fillId="0" borderId="0" xfId="0" applyFont="1" applyBorder="1" applyAlignment="1"/>
    <xf numFmtId="0" fontId="1" fillId="0" borderId="0" xfId="0" applyFont="1" applyBorder="1" applyAlignment="1">
      <alignment vertical="center" wrapText="1"/>
    </xf>
    <xf numFmtId="0" fontId="1" fillId="0" borderId="0" xfId="0" applyFont="1" applyBorder="1" applyAlignment="1">
      <alignment wrapText="1"/>
    </xf>
    <xf numFmtId="0" fontId="9" fillId="0" borderId="0" xfId="0" applyFont="1" applyBorder="1" applyAlignment="1"/>
    <xf numFmtId="0" fontId="10" fillId="0" borderId="0" xfId="0" applyFont="1"/>
    <xf numFmtId="0" fontId="0" fillId="0" borderId="0" xfId="0" applyAlignment="1"/>
    <xf numFmtId="0" fontId="12" fillId="8" borderId="0" xfId="0" applyFont="1" applyFill="1" applyBorder="1" applyAlignment="1">
      <alignment horizontal="center" wrapText="1"/>
    </xf>
    <xf numFmtId="0" fontId="12" fillId="8" borderId="16" xfId="0" applyFont="1" applyFill="1" applyBorder="1" applyAlignment="1">
      <alignment horizontal="center" wrapText="1"/>
    </xf>
    <xf numFmtId="0" fontId="1" fillId="0" borderId="0" xfId="0" applyFont="1" applyBorder="1" applyAlignment="1">
      <alignment horizontal="left"/>
    </xf>
    <xf numFmtId="0" fontId="1" fillId="4" borderId="0" xfId="0" applyFont="1" applyFill="1" applyAlignment="1">
      <alignment vertical="center"/>
    </xf>
    <xf numFmtId="0" fontId="13" fillId="0" borderId="0" xfId="0" applyFont="1"/>
    <xf numFmtId="0" fontId="1" fillId="0" borderId="5" xfId="0" applyFont="1" applyBorder="1" applyAlignment="1">
      <alignment horizontal="left"/>
    </xf>
    <xf numFmtId="0" fontId="1" fillId="0" borderId="0" xfId="0" applyFont="1" applyBorder="1" applyAlignment="1">
      <alignment horizontal="left"/>
    </xf>
    <xf numFmtId="0" fontId="1" fillId="0" borderId="0" xfId="0" applyFont="1" applyBorder="1" applyAlignment="1">
      <alignment horizontal="left" wrapText="1"/>
    </xf>
    <xf numFmtId="0" fontId="4" fillId="3" borderId="2" xfId="0" applyFont="1" applyFill="1" applyBorder="1" applyAlignment="1">
      <alignment horizontal="left"/>
    </xf>
    <xf numFmtId="0" fontId="0" fillId="0" borderId="0" xfId="0" applyFont="1"/>
    <xf numFmtId="165" fontId="8" fillId="0" borderId="0" xfId="0" applyNumberFormat="1" applyFont="1" applyFill="1" applyBorder="1" applyAlignment="1"/>
    <xf numFmtId="0" fontId="4" fillId="3" borderId="2" xfId="0" applyNumberFormat="1" applyFont="1" applyFill="1" applyBorder="1" applyAlignment="1">
      <alignment horizontal="left"/>
    </xf>
    <xf numFmtId="0" fontId="4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left"/>
    </xf>
    <xf numFmtId="0" fontId="1" fillId="0" borderId="0" xfId="0" applyFont="1" applyBorder="1" applyAlignment="1">
      <alignment horizontal="left"/>
    </xf>
    <xf numFmtId="2" fontId="8" fillId="2" borderId="1" xfId="0" applyNumberFormat="1" applyFont="1" applyFill="1" applyBorder="1" applyAlignment="1"/>
    <xf numFmtId="0" fontId="0" fillId="4" borderId="0" xfId="0" applyFill="1" applyBorder="1" applyAlignment="1">
      <alignment horizontal="left" vertical="top"/>
    </xf>
    <xf numFmtId="0" fontId="14" fillId="2" borderId="1" xfId="0" applyFont="1" applyFill="1" applyBorder="1" applyAlignment="1">
      <alignment horizontal="left" vertical="center"/>
    </xf>
    <xf numFmtId="0" fontId="14" fillId="3" borderId="1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left" vertical="center"/>
    </xf>
    <xf numFmtId="2" fontId="8" fillId="3" borderId="1" xfId="0" applyNumberFormat="1" applyFont="1" applyFill="1" applyBorder="1" applyAlignment="1">
      <alignment horizontal="left" vertical="center"/>
    </xf>
    <xf numFmtId="2" fontId="14" fillId="3" borderId="1" xfId="0" applyNumberFormat="1" applyFont="1" applyFill="1" applyBorder="1" applyAlignment="1">
      <alignment horizontal="left" vertical="center"/>
    </xf>
    <xf numFmtId="0" fontId="14" fillId="0" borderId="0" xfId="0" applyFont="1"/>
    <xf numFmtId="0" fontId="0" fillId="0" borderId="0" xfId="0" applyAlignment="1">
      <alignment horizontal="left" vertical="center"/>
    </xf>
    <xf numFmtId="0" fontId="1" fillId="4" borderId="0" xfId="0" applyFont="1" applyFill="1" applyAlignment="1">
      <alignment horizontal="left" vertical="center"/>
    </xf>
    <xf numFmtId="0" fontId="1" fillId="0" borderId="0" xfId="0" applyFont="1" applyAlignment="1">
      <alignment horizontal="left"/>
    </xf>
    <xf numFmtId="1" fontId="8" fillId="3" borderId="2" xfId="0" applyNumberFormat="1" applyFont="1" applyFill="1" applyBorder="1" applyAlignment="1">
      <alignment horizontal="left"/>
    </xf>
    <xf numFmtId="0" fontId="1" fillId="0" borderId="0" xfId="0" applyFont="1" applyBorder="1" applyAlignment="1">
      <alignment horizontal="left"/>
    </xf>
    <xf numFmtId="0" fontId="14" fillId="3" borderId="1" xfId="0" applyFont="1" applyFill="1" applyBorder="1" applyAlignment="1">
      <alignment horizontal="left"/>
    </xf>
    <xf numFmtId="0" fontId="8" fillId="3" borderId="1" xfId="0" applyFont="1" applyFill="1" applyBorder="1" applyAlignment="1">
      <alignment horizontal="left"/>
    </xf>
    <xf numFmtId="14" fontId="8" fillId="3" borderId="1" xfId="0" applyNumberFormat="1" applyFont="1" applyFill="1" applyBorder="1" applyAlignment="1">
      <alignment horizontal="left"/>
    </xf>
    <xf numFmtId="0" fontId="1" fillId="0" borderId="0" xfId="0" applyFont="1" applyBorder="1" applyAlignment="1">
      <alignment horizontal="left" wrapText="1"/>
    </xf>
    <xf numFmtId="0" fontId="8" fillId="3" borderId="2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left"/>
    </xf>
    <xf numFmtId="14" fontId="2" fillId="3" borderId="2" xfId="0" applyNumberFormat="1" applyFont="1" applyFill="1" applyBorder="1" applyAlignment="1">
      <alignment horizontal="left"/>
    </xf>
    <xf numFmtId="14" fontId="8" fillId="3" borderId="2" xfId="0" applyNumberFormat="1" applyFont="1" applyFill="1" applyBorder="1" applyAlignment="1">
      <alignment horizontal="left"/>
    </xf>
    <xf numFmtId="14" fontId="14" fillId="3" borderId="2" xfId="0" applyNumberFormat="1" applyFont="1" applyFill="1" applyBorder="1" applyAlignment="1">
      <alignment horizontal="left"/>
    </xf>
    <xf numFmtId="0" fontId="14" fillId="3" borderId="2" xfId="0" applyFont="1" applyFill="1" applyBorder="1" applyAlignment="1">
      <alignment horizontal="left"/>
    </xf>
    <xf numFmtId="0" fontId="8" fillId="3" borderId="2" xfId="0" applyNumberFormat="1" applyFont="1" applyFill="1" applyBorder="1" applyAlignment="1">
      <alignment horizontal="left"/>
    </xf>
    <xf numFmtId="0" fontId="1" fillId="0" borderId="0" xfId="0" applyFont="1" applyAlignment="1">
      <alignment vertical="center"/>
    </xf>
    <xf numFmtId="0" fontId="19" fillId="9" borderId="0" xfId="0" applyFont="1" applyFill="1" applyAlignment="1" applyProtection="1">
      <alignment horizontal="left" vertical="top" wrapText="1"/>
      <protection hidden="1"/>
    </xf>
    <xf numFmtId="0" fontId="19" fillId="9" borderId="0" xfId="0" applyFont="1" applyFill="1" applyAlignment="1" applyProtection="1">
      <alignment vertical="top" wrapText="1"/>
      <protection hidden="1"/>
    </xf>
    <xf numFmtId="0" fontId="18" fillId="3" borderId="0" xfId="0" applyFont="1" applyFill="1" applyAlignment="1" applyProtection="1">
      <alignment vertical="center"/>
      <protection hidden="1"/>
    </xf>
    <xf numFmtId="0" fontId="0" fillId="3" borderId="0" xfId="0" applyFill="1"/>
    <xf numFmtId="0" fontId="19" fillId="3" borderId="0" xfId="0" applyFont="1" applyFill="1" applyAlignment="1" applyProtection="1">
      <alignment vertical="top" wrapText="1"/>
      <protection hidden="1"/>
    </xf>
    <xf numFmtId="0" fontId="14" fillId="3" borderId="1" xfId="0" applyFont="1" applyFill="1" applyBorder="1" applyAlignment="1">
      <alignment vertical="center"/>
    </xf>
    <xf numFmtId="0" fontId="5" fillId="5" borderId="0" xfId="0" applyFont="1" applyFill="1" applyAlignment="1"/>
    <xf numFmtId="0" fontId="19" fillId="3" borderId="0" xfId="0" applyFont="1" applyFill="1" applyAlignment="1" applyProtection="1">
      <alignment horizontal="left" vertical="top" wrapText="1"/>
      <protection hidden="1"/>
    </xf>
    <xf numFmtId="0" fontId="19" fillId="4" borderId="0" xfId="0" applyFont="1" applyFill="1" applyAlignment="1" applyProtection="1">
      <alignment horizontal="left" vertical="top" wrapText="1"/>
      <protection hidden="1"/>
    </xf>
    <xf numFmtId="0" fontId="19" fillId="4" borderId="0" xfId="0" applyFont="1" applyFill="1" applyAlignment="1" applyProtection="1">
      <alignment vertical="top" wrapText="1"/>
      <protection hidden="1"/>
    </xf>
    <xf numFmtId="0" fontId="0" fillId="4" borderId="0" xfId="0" applyFill="1"/>
    <xf numFmtId="0" fontId="8" fillId="4" borderId="0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left"/>
    </xf>
    <xf numFmtId="0" fontId="1" fillId="4" borderId="0" xfId="0" applyFont="1" applyFill="1"/>
    <xf numFmtId="0" fontId="14" fillId="4" borderId="0" xfId="0" applyFont="1" applyFill="1" applyBorder="1" applyAlignment="1">
      <alignment horizontal="left"/>
    </xf>
    <xf numFmtId="0" fontId="1" fillId="4" borderId="0" xfId="0" applyFont="1" applyFill="1" applyAlignment="1">
      <alignment horizontal="left"/>
    </xf>
    <xf numFmtId="0" fontId="1" fillId="4" borderId="0" xfId="0" applyFont="1" applyFill="1" applyBorder="1" applyAlignment="1">
      <alignment horizontal="left"/>
    </xf>
    <xf numFmtId="14" fontId="8" fillId="4" borderId="0" xfId="0" applyNumberFormat="1" applyFont="1" applyFill="1" applyBorder="1" applyAlignment="1">
      <alignment horizontal="left"/>
    </xf>
    <xf numFmtId="0" fontId="0" fillId="4" borderId="0" xfId="0" applyFill="1" applyBorder="1" applyAlignment="1">
      <alignment vertical="top"/>
    </xf>
    <xf numFmtId="0" fontId="1" fillId="0" borderId="0" xfId="0" applyFont="1" applyBorder="1" applyAlignment="1">
      <alignment horizontal="left"/>
    </xf>
    <xf numFmtId="0" fontId="14" fillId="4" borderId="0" xfId="0" applyFont="1" applyFill="1" applyBorder="1" applyAlignment="1">
      <alignment vertical="top" wrapText="1"/>
    </xf>
    <xf numFmtId="0" fontId="1" fillId="4" borderId="0" xfId="0" applyFont="1" applyFill="1" applyAlignment="1">
      <alignment horizontal="center" wrapText="1"/>
    </xf>
    <xf numFmtId="0" fontId="13" fillId="0" borderId="0" xfId="0" applyFont="1" applyAlignment="1">
      <alignment horizontal="left" vertical="center"/>
    </xf>
    <xf numFmtId="0" fontId="0" fillId="4" borderId="0" xfId="0" applyFill="1" applyBorder="1" applyAlignment="1">
      <alignment horizontal="center"/>
    </xf>
    <xf numFmtId="0" fontId="5" fillId="0" borderId="0" xfId="0" applyFont="1" applyFill="1" applyAlignment="1"/>
    <xf numFmtId="0" fontId="1" fillId="0" borderId="0" xfId="0" applyFont="1" applyFill="1" applyAlignment="1">
      <alignment vertical="center"/>
    </xf>
    <xf numFmtId="0" fontId="14" fillId="0" borderId="0" xfId="0" applyFont="1" applyFill="1" applyBorder="1" applyAlignment="1">
      <alignment vertical="top" wrapText="1"/>
    </xf>
    <xf numFmtId="9" fontId="0" fillId="0" borderId="1" xfId="0" applyNumberFormat="1" applyBorder="1"/>
    <xf numFmtId="0" fontId="23" fillId="10" borderId="0" xfId="0" applyFont="1" applyFill="1"/>
    <xf numFmtId="0" fontId="24" fillId="11" borderId="17" xfId="0" applyFont="1" applyFill="1" applyBorder="1" applyAlignment="1">
      <alignment horizontal="center" vertical="center"/>
    </xf>
    <xf numFmtId="0" fontId="24" fillId="11" borderId="17" xfId="0" applyFont="1" applyFill="1" applyBorder="1" applyAlignment="1">
      <alignment horizontal="center" vertical="center" wrapText="1"/>
    </xf>
    <xf numFmtId="0" fontId="24" fillId="12" borderId="17" xfId="0" applyFont="1" applyFill="1" applyBorder="1" applyAlignment="1">
      <alignment horizontal="center" vertical="center" wrapText="1"/>
    </xf>
    <xf numFmtId="0" fontId="24" fillId="11" borderId="18" xfId="0" applyFont="1" applyFill="1" applyBorder="1" applyAlignment="1">
      <alignment horizontal="center" vertical="center" wrapText="1"/>
    </xf>
    <xf numFmtId="0" fontId="24" fillId="0" borderId="0" xfId="0" applyFont="1"/>
    <xf numFmtId="0" fontId="0" fillId="0" borderId="19" xfId="0" applyBorder="1" applyAlignment="1">
      <alignment horizontal="center"/>
    </xf>
    <xf numFmtId="0" fontId="0" fillId="0" borderId="19" xfId="0" applyBorder="1"/>
    <xf numFmtId="167" fontId="0" fillId="0" borderId="19" xfId="1" applyNumberFormat="1" applyFont="1" applyBorder="1" applyAlignment="1">
      <alignment horizontal="left"/>
    </xf>
    <xf numFmtId="167" fontId="0" fillId="0" borderId="19" xfId="0" applyNumberFormat="1" applyBorder="1"/>
    <xf numFmtId="167" fontId="0" fillId="0" borderId="19" xfId="1" applyNumberFormat="1" applyFont="1" applyBorder="1"/>
    <xf numFmtId="44" fontId="0" fillId="0" borderId="19" xfId="0" applyNumberFormat="1" applyBorder="1"/>
    <xf numFmtId="0" fontId="0" fillId="0" borderId="1" xfId="0" applyBorder="1" applyAlignment="1">
      <alignment horizontal="center"/>
    </xf>
    <xf numFmtId="0" fontId="0" fillId="0" borderId="1" xfId="0" applyBorder="1"/>
    <xf numFmtId="167" fontId="0" fillId="0" borderId="1" xfId="1" applyNumberFormat="1" applyFont="1" applyBorder="1" applyAlignment="1">
      <alignment horizontal="left"/>
    </xf>
    <xf numFmtId="167" fontId="0" fillId="0" borderId="1" xfId="0" applyNumberFormat="1" applyBorder="1" applyAlignment="1">
      <alignment horizontal="left"/>
    </xf>
    <xf numFmtId="167" fontId="0" fillId="0" borderId="1" xfId="1" applyNumberFormat="1" applyFont="1" applyBorder="1"/>
    <xf numFmtId="167" fontId="0" fillId="0" borderId="0" xfId="0" applyNumberFormat="1"/>
    <xf numFmtId="0" fontId="0" fillId="0" borderId="17" xfId="0" applyBorder="1" applyAlignment="1">
      <alignment horizontal="right" vertical="center"/>
    </xf>
    <xf numFmtId="1" fontId="0" fillId="0" borderId="17" xfId="1" applyNumberFormat="1" applyFont="1" applyBorder="1"/>
    <xf numFmtId="44" fontId="0" fillId="0" borderId="17" xfId="1" applyFont="1" applyBorder="1"/>
    <xf numFmtId="0" fontId="0" fillId="0" borderId="17" xfId="0" applyBorder="1" applyAlignment="1">
      <alignment horizontal="right" vertical="center" wrapText="1"/>
    </xf>
    <xf numFmtId="10" fontId="0" fillId="0" borderId="17" xfId="0" applyNumberFormat="1" applyBorder="1"/>
    <xf numFmtId="44" fontId="0" fillId="0" borderId="17" xfId="0" applyNumberFormat="1" applyBorder="1"/>
    <xf numFmtId="0" fontId="0" fillId="0" borderId="17" xfId="0" applyBorder="1"/>
    <xf numFmtId="0" fontId="0" fillId="0" borderId="17" xfId="0" applyBorder="1" applyAlignment="1">
      <alignment horizontal="center"/>
    </xf>
    <xf numFmtId="44" fontId="0" fillId="0" borderId="20" xfId="0" applyNumberFormat="1" applyBorder="1"/>
    <xf numFmtId="0" fontId="25" fillId="0" borderId="17" xfId="0" applyFont="1" applyBorder="1" applyAlignment="1">
      <alignment horizontal="right"/>
    </xf>
    <xf numFmtId="44" fontId="26" fillId="0" borderId="17" xfId="0" applyNumberFormat="1" applyFont="1" applyBorder="1"/>
    <xf numFmtId="9" fontId="0" fillId="0" borderId="0" xfId="0" applyNumberFormat="1"/>
    <xf numFmtId="1" fontId="23" fillId="10" borderId="0" xfId="0" applyNumberFormat="1" applyFont="1" applyFill="1"/>
    <xf numFmtId="0" fontId="27" fillId="11" borderId="17" xfId="0" applyFont="1" applyFill="1" applyBorder="1" applyAlignment="1">
      <alignment horizontal="center" vertical="center" wrapText="1"/>
    </xf>
    <xf numFmtId="167" fontId="0" fillId="0" borderId="19" xfId="1" applyNumberFormat="1" applyFont="1" applyBorder="1" applyAlignment="1">
      <alignment horizontal="left" vertical="center"/>
    </xf>
    <xf numFmtId="0" fontId="0" fillId="0" borderId="19" xfId="0" applyBorder="1" applyAlignment="1">
      <alignment horizontal="center" vertical="center"/>
    </xf>
    <xf numFmtId="44" fontId="0" fillId="0" borderId="19" xfId="1" applyFont="1" applyBorder="1"/>
    <xf numFmtId="167" fontId="0" fillId="0" borderId="1" xfId="1" applyNumberFormat="1" applyFont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167" fontId="0" fillId="0" borderId="1" xfId="0" applyNumberFormat="1" applyBorder="1"/>
    <xf numFmtId="44" fontId="0" fillId="0" borderId="1" xfId="1" applyFont="1" applyBorder="1"/>
    <xf numFmtId="1" fontId="0" fillId="0" borderId="17" xfId="0" applyNumberFormat="1" applyBorder="1"/>
    <xf numFmtId="164" fontId="0" fillId="0" borderId="17" xfId="1" applyNumberFormat="1" applyFont="1" applyBorder="1"/>
    <xf numFmtId="164" fontId="0" fillId="0" borderId="17" xfId="0" applyNumberFormat="1" applyBorder="1"/>
    <xf numFmtId="0" fontId="11" fillId="0" borderId="0" xfId="0" applyFont="1"/>
    <xf numFmtId="4" fontId="29" fillId="13" borderId="1" xfId="6" applyNumberFormat="1" applyFont="1" applyFill="1" applyBorder="1" applyAlignment="1">
      <alignment horizontal="right"/>
    </xf>
    <xf numFmtId="169" fontId="28" fillId="0" borderId="0" xfId="0" applyNumberFormat="1" applyFont="1" applyProtection="1">
      <protection locked="0"/>
    </xf>
    <xf numFmtId="10" fontId="11" fillId="0" borderId="0" xfId="0" applyNumberFormat="1" applyFont="1" applyProtection="1">
      <protection locked="0"/>
    </xf>
    <xf numFmtId="169" fontId="28" fillId="13" borderId="1" xfId="0" applyNumberFormat="1" applyFont="1" applyFill="1" applyBorder="1" applyProtection="1">
      <protection locked="0"/>
    </xf>
    <xf numFmtId="10" fontId="11" fillId="13" borderId="1" xfId="0" applyNumberFormat="1" applyFont="1" applyFill="1" applyBorder="1" applyProtection="1">
      <protection locked="0"/>
    </xf>
    <xf numFmtId="0" fontId="11" fillId="13" borderId="3" xfId="0" applyFont="1" applyFill="1" applyBorder="1" applyProtection="1">
      <protection locked="0"/>
    </xf>
    <xf numFmtId="0" fontId="28" fillId="13" borderId="2" xfId="0" applyFont="1" applyFill="1" applyBorder="1" applyProtection="1">
      <protection locked="0"/>
    </xf>
    <xf numFmtId="169" fontId="11" fillId="0" borderId="1" xfId="0" applyNumberFormat="1" applyFont="1" applyBorder="1" applyProtection="1">
      <protection locked="0"/>
    </xf>
    <xf numFmtId="10" fontId="11" fillId="0" borderId="23" xfId="0" applyNumberFormat="1" applyFont="1" applyBorder="1" applyProtection="1">
      <protection locked="0"/>
    </xf>
    <xf numFmtId="169" fontId="11" fillId="0" borderId="19" xfId="0" applyNumberFormat="1" applyFont="1" applyBorder="1" applyProtection="1">
      <protection locked="0"/>
    </xf>
    <xf numFmtId="10" fontId="28" fillId="13" borderId="1" xfId="0" applyNumberFormat="1" applyFont="1" applyFill="1" applyBorder="1" applyProtection="1">
      <protection locked="0"/>
    </xf>
    <xf numFmtId="10" fontId="11" fillId="0" borderId="23" xfId="5" applyNumberFormat="1" applyFont="1" applyBorder="1" applyAlignment="1" applyProtection="1">
      <alignment horizontal="right"/>
      <protection locked="0"/>
    </xf>
    <xf numFmtId="0" fontId="31" fillId="0" borderId="3" xfId="0" applyFont="1" applyBorder="1" applyProtection="1">
      <protection locked="0"/>
    </xf>
    <xf numFmtId="0" fontId="31" fillId="0" borderId="2" xfId="0" applyFont="1" applyBorder="1" applyProtection="1">
      <protection locked="0"/>
    </xf>
    <xf numFmtId="169" fontId="11" fillId="0" borderId="1" xfId="6" applyNumberFormat="1" applyFont="1" applyBorder="1" applyProtection="1">
      <protection locked="0"/>
    </xf>
    <xf numFmtId="10" fontId="11" fillId="0" borderId="1" xfId="5" applyNumberFormat="1" applyFont="1" applyBorder="1" applyAlignment="1" applyProtection="1">
      <protection locked="0"/>
    </xf>
    <xf numFmtId="10" fontId="11" fillId="0" borderId="1" xfId="5" applyNumberFormat="1" applyFont="1" applyBorder="1" applyProtection="1">
      <protection locked="0"/>
    </xf>
    <xf numFmtId="0" fontId="11" fillId="0" borderId="1" xfId="0" applyFont="1" applyBorder="1" applyProtection="1">
      <protection locked="0"/>
    </xf>
    <xf numFmtId="0" fontId="11" fillId="0" borderId="5" xfId="0" applyFont="1" applyBorder="1" applyProtection="1">
      <protection locked="0"/>
    </xf>
    <xf numFmtId="170" fontId="11" fillId="0" borderId="1" xfId="6" applyNumberFormat="1" applyFont="1" applyBorder="1" applyAlignment="1" applyProtection="1">
      <protection locked="0"/>
    </xf>
    <xf numFmtId="0" fontId="32" fillId="0" borderId="2" xfId="0" applyFont="1" applyBorder="1" applyProtection="1">
      <protection locked="0"/>
    </xf>
    <xf numFmtId="0" fontId="11" fillId="0" borderId="3" xfId="0" applyFont="1" applyBorder="1" applyProtection="1">
      <protection locked="0"/>
    </xf>
    <xf numFmtId="9" fontId="29" fillId="0" borderId="3" xfId="5" applyFont="1" applyBorder="1" applyAlignment="1" applyProtection="1">
      <protection locked="0"/>
    </xf>
    <xf numFmtId="0" fontId="28" fillId="0" borderId="0" xfId="0" applyFont="1"/>
    <xf numFmtId="17" fontId="11" fillId="0" borderId="3" xfId="0" applyNumberFormat="1" applyFont="1" applyBorder="1" applyProtection="1">
      <protection locked="0"/>
    </xf>
    <xf numFmtId="0" fontId="11" fillId="0" borderId="3" xfId="0" applyFont="1" applyBorder="1" applyAlignment="1" applyProtection="1">
      <alignment horizontal="right"/>
      <protection locked="0"/>
    </xf>
    <xf numFmtId="0" fontId="31" fillId="0" borderId="0" xfId="0" applyFont="1" applyProtection="1">
      <protection locked="0"/>
    </xf>
    <xf numFmtId="171" fontId="28" fillId="0" borderId="3" xfId="0" applyNumberFormat="1" applyFont="1" applyBorder="1" applyAlignment="1" applyProtection="1">
      <alignment horizontal="center"/>
      <protection locked="0"/>
    </xf>
    <xf numFmtId="0" fontId="33" fillId="0" borderId="3" xfId="0" applyFont="1" applyBorder="1" applyProtection="1">
      <protection locked="0"/>
    </xf>
    <xf numFmtId="171" fontId="11" fillId="0" borderId="3" xfId="0" applyNumberFormat="1" applyFont="1" applyBorder="1" applyAlignment="1" applyProtection="1">
      <alignment horizontal="center"/>
      <protection locked="0"/>
    </xf>
    <xf numFmtId="4" fontId="11" fillId="0" borderId="3" xfId="0" applyNumberFormat="1" applyFont="1" applyBorder="1" applyAlignment="1" applyProtection="1">
      <alignment horizontal="center"/>
      <protection locked="0"/>
    </xf>
    <xf numFmtId="4" fontId="28" fillId="0" borderId="3" xfId="0" applyNumberFormat="1" applyFont="1" applyBorder="1" applyAlignment="1" applyProtection="1">
      <alignment horizontal="center"/>
      <protection locked="0"/>
    </xf>
    <xf numFmtId="0" fontId="33" fillId="0" borderId="1" xfId="0" applyFont="1" applyBorder="1" applyProtection="1">
      <protection locked="0"/>
    </xf>
    <xf numFmtId="0" fontId="28" fillId="0" borderId="19" xfId="0" applyFont="1" applyBorder="1" applyAlignment="1">
      <alignment horizontal="center"/>
    </xf>
    <xf numFmtId="0" fontId="11" fillId="0" borderId="5" xfId="0" applyFont="1" applyBorder="1"/>
    <xf numFmtId="172" fontId="11" fillId="0" borderId="0" xfId="7" applyFont="1" applyFill="1" applyBorder="1" applyAlignment="1" applyProtection="1">
      <protection locked="0"/>
    </xf>
    <xf numFmtId="0" fontId="33" fillId="0" borderId="0" xfId="0" applyFont="1"/>
    <xf numFmtId="0" fontId="28" fillId="0" borderId="0" xfId="0" applyFont="1" applyAlignment="1" applyProtection="1">
      <alignment horizontal="left" vertical="top" wrapText="1"/>
      <protection locked="0"/>
    </xf>
    <xf numFmtId="0" fontId="36" fillId="4" borderId="0" xfId="8" applyFont="1" applyFill="1" applyAlignment="1">
      <alignment horizontal="center" vertical="center" wrapText="1"/>
    </xf>
    <xf numFmtId="1" fontId="36" fillId="4" borderId="0" xfId="8" applyNumberFormat="1" applyFont="1" applyFill="1" applyAlignment="1">
      <alignment horizontal="center" vertical="center" wrapText="1"/>
    </xf>
    <xf numFmtId="1" fontId="37" fillId="4" borderId="0" xfId="8" applyNumberFormat="1" applyFont="1" applyFill="1" applyAlignment="1">
      <alignment horizontal="center" vertical="center" wrapText="1"/>
    </xf>
    <xf numFmtId="2" fontId="36" fillId="4" borderId="24" xfId="8" applyNumberFormat="1" applyFont="1" applyFill="1" applyBorder="1" applyAlignment="1">
      <alignment horizontal="center" vertical="center" wrapText="1"/>
    </xf>
    <xf numFmtId="2" fontId="36" fillId="4" borderId="25" xfId="8" applyNumberFormat="1" applyFont="1" applyFill="1" applyBorder="1" applyAlignment="1">
      <alignment horizontal="center" vertical="center" wrapText="1"/>
    </xf>
    <xf numFmtId="1" fontId="36" fillId="4" borderId="26" xfId="8" applyNumberFormat="1" applyFont="1" applyFill="1" applyBorder="1" applyAlignment="1">
      <alignment horizontal="center" vertical="center" wrapText="1"/>
    </xf>
    <xf numFmtId="2" fontId="36" fillId="4" borderId="1" xfId="8" applyNumberFormat="1" applyFont="1" applyFill="1" applyBorder="1" applyAlignment="1">
      <alignment horizontal="center" vertical="center" wrapText="1"/>
    </xf>
    <xf numFmtId="1" fontId="36" fillId="4" borderId="27" xfId="8" applyNumberFormat="1" applyFont="1" applyFill="1" applyBorder="1" applyAlignment="1">
      <alignment horizontal="center" vertical="center" wrapText="1"/>
    </xf>
    <xf numFmtId="0" fontId="37" fillId="13" borderId="24" xfId="8" applyFont="1" applyFill="1" applyBorder="1" applyAlignment="1">
      <alignment horizontal="center" vertical="center" wrapText="1"/>
    </xf>
    <xf numFmtId="0" fontId="37" fillId="13" borderId="1" xfId="8" applyFont="1" applyFill="1" applyBorder="1" applyAlignment="1">
      <alignment horizontal="center" vertical="center" wrapText="1"/>
    </xf>
    <xf numFmtId="1" fontId="37" fillId="13" borderId="27" xfId="8" applyNumberFormat="1" applyFont="1" applyFill="1" applyBorder="1" applyAlignment="1">
      <alignment horizontal="center" vertical="center" wrapText="1"/>
    </xf>
    <xf numFmtId="14" fontId="14" fillId="3" borderId="2" xfId="0" applyNumberFormat="1" applyFont="1" applyFill="1" applyBorder="1" applyAlignment="1">
      <alignment horizontal="left" vertical="center"/>
    </xf>
    <xf numFmtId="1" fontId="8" fillId="3" borderId="2" xfId="0" applyNumberFormat="1" applyFont="1" applyFill="1" applyBorder="1" applyAlignment="1">
      <alignment horizontal="left" vertical="center"/>
    </xf>
    <xf numFmtId="0" fontId="8" fillId="3" borderId="2" xfId="0" applyNumberFormat="1" applyFont="1" applyFill="1" applyBorder="1" applyAlignment="1">
      <alignment horizontal="left" vertical="center"/>
    </xf>
    <xf numFmtId="0" fontId="1" fillId="0" borderId="1" xfId="0" applyFont="1" applyBorder="1" applyAlignment="1"/>
    <xf numFmtId="2" fontId="8" fillId="4" borderId="0" xfId="0" applyNumberFormat="1" applyFont="1" applyFill="1" applyBorder="1" applyAlignment="1">
      <alignment vertical="center"/>
    </xf>
    <xf numFmtId="44" fontId="12" fillId="8" borderId="0" xfId="0" applyNumberFormat="1" applyFont="1" applyFill="1" applyBorder="1" applyAlignment="1">
      <alignment horizontal="center" wrapText="1"/>
    </xf>
    <xf numFmtId="0" fontId="8" fillId="2" borderId="1" xfId="0" applyFont="1" applyFill="1" applyBorder="1" applyAlignment="1">
      <alignment horizontal="left"/>
    </xf>
    <xf numFmtId="14" fontId="8" fillId="3" borderId="2" xfId="0" applyNumberFormat="1" applyFont="1" applyFill="1" applyBorder="1" applyAlignment="1">
      <alignment horizontal="left"/>
    </xf>
    <xf numFmtId="14" fontId="8" fillId="3" borderId="3" xfId="0" applyNumberFormat="1" applyFont="1" applyFill="1" applyBorder="1" applyAlignment="1">
      <alignment horizontal="left"/>
    </xf>
    <xf numFmtId="0" fontId="14" fillId="2" borderId="2" xfId="0" applyFont="1" applyFill="1" applyBorder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" fillId="0" borderId="0" xfId="0" applyFont="1" applyAlignment="1">
      <alignment horizontal="left"/>
    </xf>
    <xf numFmtId="14" fontId="14" fillId="3" borderId="2" xfId="0" applyNumberFormat="1" applyFont="1" applyFill="1" applyBorder="1" applyAlignment="1">
      <alignment horizontal="left" vertical="center"/>
    </xf>
    <xf numFmtId="14" fontId="14" fillId="3" borderId="4" xfId="0" applyNumberFormat="1" applyFont="1" applyFill="1" applyBorder="1" applyAlignment="1">
      <alignment horizontal="left" vertical="center"/>
    </xf>
    <xf numFmtId="14" fontId="14" fillId="3" borderId="3" xfId="0" applyNumberFormat="1" applyFont="1" applyFill="1" applyBorder="1" applyAlignment="1">
      <alignment horizontal="left" vertical="center"/>
    </xf>
    <xf numFmtId="0" fontId="1" fillId="0" borderId="5" xfId="0" applyFont="1" applyBorder="1" applyAlignment="1">
      <alignment horizontal="left"/>
    </xf>
    <xf numFmtId="0" fontId="14" fillId="2" borderId="4" xfId="0" applyFont="1" applyFill="1" applyBorder="1" applyAlignment="1">
      <alignment horizontal="left" vertical="center"/>
    </xf>
    <xf numFmtId="1" fontId="8" fillId="3" borderId="2" xfId="0" applyNumberFormat="1" applyFont="1" applyFill="1" applyBorder="1" applyAlignment="1">
      <alignment horizontal="left" vertical="center"/>
    </xf>
    <xf numFmtId="1" fontId="8" fillId="3" borderId="4" xfId="0" applyNumberFormat="1" applyFont="1" applyFill="1" applyBorder="1" applyAlignment="1">
      <alignment horizontal="left" vertical="center"/>
    </xf>
    <xf numFmtId="1" fontId="8" fillId="3" borderId="3" xfId="0" applyNumberFormat="1" applyFont="1" applyFill="1" applyBorder="1" applyAlignment="1">
      <alignment horizontal="left" vertical="center"/>
    </xf>
    <xf numFmtId="0" fontId="16" fillId="2" borderId="2" xfId="4" applyNumberFormat="1" applyFill="1" applyBorder="1" applyAlignment="1">
      <alignment horizontal="left" vertical="center"/>
    </xf>
    <xf numFmtId="0" fontId="17" fillId="2" borderId="4" xfId="4" applyNumberFormat="1" applyFont="1" applyFill="1" applyBorder="1" applyAlignment="1">
      <alignment horizontal="left" vertical="center"/>
    </xf>
    <xf numFmtId="0" fontId="17" fillId="2" borderId="3" xfId="4" applyNumberFormat="1" applyFont="1" applyFill="1" applyBorder="1" applyAlignment="1">
      <alignment horizontal="left" vertical="center"/>
    </xf>
    <xf numFmtId="0" fontId="8" fillId="2" borderId="2" xfId="0" applyFont="1" applyFill="1" applyBorder="1" applyAlignment="1">
      <alignment horizontal="left" vertical="center"/>
    </xf>
    <xf numFmtId="0" fontId="8" fillId="2" borderId="4" xfId="0" applyFont="1" applyFill="1" applyBorder="1" applyAlignment="1">
      <alignment horizontal="left" vertical="center"/>
    </xf>
    <xf numFmtId="0" fontId="8" fillId="2" borderId="3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top"/>
    </xf>
    <xf numFmtId="0" fontId="1" fillId="0" borderId="5" xfId="0" applyFont="1" applyBorder="1" applyAlignment="1">
      <alignment horizontal="left" vertical="top"/>
    </xf>
    <xf numFmtId="0" fontId="20" fillId="3" borderId="0" xfId="0" applyFont="1" applyFill="1" applyAlignment="1" applyProtection="1">
      <alignment horizontal="left" vertical="center"/>
      <protection hidden="1"/>
    </xf>
    <xf numFmtId="0" fontId="21" fillId="3" borderId="0" xfId="0" applyFont="1" applyFill="1" applyAlignment="1">
      <alignment horizontal="center" vertical="center"/>
    </xf>
    <xf numFmtId="0" fontId="19" fillId="3" borderId="0" xfId="0" applyFont="1" applyFill="1" applyAlignment="1" applyProtection="1">
      <alignment horizontal="left" vertical="top"/>
      <protection hidden="1"/>
    </xf>
    <xf numFmtId="0" fontId="19" fillId="3" borderId="0" xfId="0" applyFont="1" applyFill="1" applyAlignment="1" applyProtection="1">
      <alignment horizontal="left" vertical="top" wrapText="1"/>
      <protection hidden="1"/>
    </xf>
    <xf numFmtId="0" fontId="18" fillId="3" borderId="0" xfId="0" applyFont="1" applyFill="1" applyAlignment="1" applyProtection="1">
      <alignment horizontal="left" vertical="center"/>
      <protection hidden="1"/>
    </xf>
    <xf numFmtId="0" fontId="14" fillId="2" borderId="1" xfId="0" applyFont="1" applyFill="1" applyBorder="1" applyAlignment="1">
      <alignment horizontal="left"/>
    </xf>
    <xf numFmtId="0" fontId="1" fillId="0" borderId="0" xfId="0" applyFont="1" applyAlignment="1">
      <alignment horizontal="center" vertical="top" wrapText="1"/>
    </xf>
    <xf numFmtId="0" fontId="14" fillId="3" borderId="10" xfId="0" applyFont="1" applyFill="1" applyBorder="1" applyAlignment="1">
      <alignment horizontal="left" vertical="top" wrapText="1"/>
    </xf>
    <xf numFmtId="0" fontId="14" fillId="3" borderId="11" xfId="0" applyFont="1" applyFill="1" applyBorder="1" applyAlignment="1">
      <alignment horizontal="left" vertical="top" wrapText="1"/>
    </xf>
    <xf numFmtId="0" fontId="14" fillId="3" borderId="12" xfId="0" applyFont="1" applyFill="1" applyBorder="1" applyAlignment="1">
      <alignment horizontal="left" vertical="top" wrapText="1"/>
    </xf>
    <xf numFmtId="0" fontId="14" fillId="3" borderId="9" xfId="0" applyFont="1" applyFill="1" applyBorder="1" applyAlignment="1">
      <alignment horizontal="left" vertical="top" wrapText="1"/>
    </xf>
    <xf numFmtId="0" fontId="14" fillId="3" borderId="0" xfId="0" applyFont="1" applyFill="1" applyBorder="1" applyAlignment="1">
      <alignment horizontal="left" vertical="top" wrapText="1"/>
    </xf>
    <xf numFmtId="0" fontId="14" fillId="3" borderId="5" xfId="0" applyFont="1" applyFill="1" applyBorder="1" applyAlignment="1">
      <alignment horizontal="left" vertical="top" wrapText="1"/>
    </xf>
    <xf numFmtId="0" fontId="14" fillId="3" borderId="13" xfId="0" applyFont="1" applyFill="1" applyBorder="1" applyAlignment="1">
      <alignment horizontal="left" vertical="top" wrapText="1"/>
    </xf>
    <xf numFmtId="0" fontId="14" fillId="3" borderId="14" xfId="0" applyFont="1" applyFill="1" applyBorder="1" applyAlignment="1">
      <alignment horizontal="left" vertical="top" wrapText="1"/>
    </xf>
    <xf numFmtId="0" fontId="14" fillId="3" borderId="15" xfId="0" applyFont="1" applyFill="1" applyBorder="1" applyAlignment="1">
      <alignment horizontal="left" vertical="top" wrapText="1"/>
    </xf>
    <xf numFmtId="0" fontId="8" fillId="3" borderId="2" xfId="0" applyFont="1" applyFill="1" applyBorder="1" applyAlignment="1">
      <alignment horizontal="left" vertical="center"/>
    </xf>
    <xf numFmtId="0" fontId="8" fillId="3" borderId="4" xfId="0" applyFont="1" applyFill="1" applyBorder="1" applyAlignment="1">
      <alignment horizontal="left" vertical="center"/>
    </xf>
    <xf numFmtId="0" fontId="8" fillId="3" borderId="3" xfId="0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4" fillId="3" borderId="4" xfId="0" applyFont="1" applyFill="1" applyBorder="1" applyAlignment="1">
      <alignment horizontal="left" vertical="center"/>
    </xf>
    <xf numFmtId="0" fontId="14" fillId="3" borderId="3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15" fillId="3" borderId="2" xfId="0" applyFont="1" applyFill="1" applyBorder="1" applyAlignment="1">
      <alignment horizontal="left" vertical="center"/>
    </xf>
    <xf numFmtId="0" fontId="15" fillId="3" borderId="3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/>
    </xf>
    <xf numFmtId="0" fontId="1" fillId="3" borderId="0" xfId="0" applyFont="1" applyFill="1" applyAlignment="1">
      <alignment horizontal="left" vertical="center"/>
    </xf>
    <xf numFmtId="0" fontId="5" fillId="5" borderId="0" xfId="0" applyFont="1" applyFill="1" applyAlignment="1">
      <alignment horizontal="right"/>
    </xf>
    <xf numFmtId="0" fontId="5" fillId="5" borderId="0" xfId="0" applyFont="1" applyFill="1" applyAlignment="1">
      <alignment horizontal="center"/>
    </xf>
    <xf numFmtId="2" fontId="8" fillId="3" borderId="2" xfId="0" applyNumberFormat="1" applyFont="1" applyFill="1" applyBorder="1" applyAlignment="1">
      <alignment horizontal="left" vertical="center"/>
    </xf>
    <xf numFmtId="2" fontId="8" fillId="3" borderId="4" xfId="0" applyNumberFormat="1" applyFont="1" applyFill="1" applyBorder="1" applyAlignment="1">
      <alignment horizontal="left" vertical="center"/>
    </xf>
    <xf numFmtId="2" fontId="8" fillId="3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1" fillId="3" borderId="1" xfId="0" applyFont="1" applyFill="1" applyBorder="1" applyAlignment="1">
      <alignment horizontal="left" vertical="top" wrapText="1"/>
    </xf>
    <xf numFmtId="0" fontId="1" fillId="0" borderId="0" xfId="0" applyFont="1" applyAlignment="1">
      <alignment horizontal="left" wrapText="1"/>
    </xf>
    <xf numFmtId="0" fontId="1" fillId="0" borderId="5" xfId="0" applyFont="1" applyBorder="1" applyAlignment="1">
      <alignment horizontal="left" wrapText="1"/>
    </xf>
    <xf numFmtId="0" fontId="1" fillId="0" borderId="0" xfId="0" applyFont="1" applyAlignment="1">
      <alignment horizontal="left" vertical="top" wrapText="1"/>
    </xf>
    <xf numFmtId="0" fontId="1" fillId="0" borderId="5" xfId="0" applyFont="1" applyBorder="1" applyAlignment="1">
      <alignment horizontal="left" vertical="top" wrapText="1"/>
    </xf>
    <xf numFmtId="0" fontId="8" fillId="2" borderId="1" xfId="0" applyFont="1" applyFill="1" applyBorder="1" applyAlignment="1">
      <alignment horizontal="left" vertical="center"/>
    </xf>
    <xf numFmtId="0" fontId="14" fillId="2" borderId="2" xfId="0" applyFont="1" applyFill="1" applyBorder="1" applyAlignment="1">
      <alignment horizontal="left"/>
    </xf>
    <xf numFmtId="0" fontId="14" fillId="2" borderId="3" xfId="0" applyFont="1" applyFill="1" applyBorder="1" applyAlignment="1">
      <alignment horizontal="left"/>
    </xf>
    <xf numFmtId="0" fontId="14" fillId="2" borderId="2" xfId="0" applyFont="1" applyFill="1" applyBorder="1" applyAlignment="1">
      <alignment horizontal="left" vertical="top"/>
    </xf>
    <xf numFmtId="0" fontId="14" fillId="2" borderId="3" xfId="0" applyFont="1" applyFill="1" applyBorder="1" applyAlignment="1">
      <alignment horizontal="left" vertical="top"/>
    </xf>
    <xf numFmtId="0" fontId="15" fillId="2" borderId="1" xfId="0" applyFont="1" applyFill="1" applyBorder="1" applyAlignment="1">
      <alignment horizontal="left" vertical="center"/>
    </xf>
    <xf numFmtId="0" fontId="14" fillId="3" borderId="1" xfId="0" applyFont="1" applyFill="1" applyBorder="1" applyAlignment="1">
      <alignment horizontal="center"/>
    </xf>
    <xf numFmtId="0" fontId="1" fillId="0" borderId="0" xfId="0" applyFont="1" applyBorder="1" applyAlignment="1">
      <alignment horizontal="center" wrapText="1"/>
    </xf>
    <xf numFmtId="0" fontId="0" fillId="3" borderId="10" xfId="0" applyFill="1" applyBorder="1" applyAlignment="1">
      <alignment horizontal="left" vertical="top"/>
    </xf>
    <xf numFmtId="0" fontId="0" fillId="3" borderId="11" xfId="0" applyFill="1" applyBorder="1" applyAlignment="1">
      <alignment horizontal="left" vertical="top"/>
    </xf>
    <xf numFmtId="0" fontId="0" fillId="3" borderId="12" xfId="0" applyFill="1" applyBorder="1" applyAlignment="1">
      <alignment horizontal="left" vertical="top"/>
    </xf>
    <xf numFmtId="0" fontId="0" fillId="3" borderId="9" xfId="0" applyFill="1" applyBorder="1" applyAlignment="1">
      <alignment horizontal="left" vertical="top"/>
    </xf>
    <xf numFmtId="0" fontId="0" fillId="3" borderId="0" xfId="0" applyFill="1" applyBorder="1" applyAlignment="1">
      <alignment horizontal="left" vertical="top"/>
    </xf>
    <xf numFmtId="0" fontId="0" fillId="3" borderId="5" xfId="0" applyFill="1" applyBorder="1" applyAlignment="1">
      <alignment horizontal="left" vertical="top"/>
    </xf>
    <xf numFmtId="0" fontId="0" fillId="3" borderId="13" xfId="0" applyFill="1" applyBorder="1" applyAlignment="1">
      <alignment horizontal="left" vertical="top"/>
    </xf>
    <xf numFmtId="0" fontId="0" fillId="3" borderId="14" xfId="0" applyFill="1" applyBorder="1" applyAlignment="1">
      <alignment horizontal="left" vertical="top"/>
    </xf>
    <xf numFmtId="0" fontId="0" fillId="3" borderId="15" xfId="0" applyFill="1" applyBorder="1" applyAlignment="1">
      <alignment horizontal="left" vertical="top"/>
    </xf>
    <xf numFmtId="0" fontId="8" fillId="3" borderId="2" xfId="0" applyFont="1" applyFill="1" applyBorder="1" applyAlignment="1">
      <alignment horizontal="left"/>
    </xf>
    <xf numFmtId="0" fontId="8" fillId="3" borderId="3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left"/>
    </xf>
    <xf numFmtId="14" fontId="2" fillId="3" borderId="2" xfId="0" applyNumberFormat="1" applyFont="1" applyFill="1" applyBorder="1" applyAlignment="1">
      <alignment horizontal="left"/>
    </xf>
    <xf numFmtId="14" fontId="2" fillId="3" borderId="3" xfId="0" applyNumberFormat="1" applyFont="1" applyFill="1" applyBorder="1" applyAlignment="1">
      <alignment horizontal="left"/>
    </xf>
    <xf numFmtId="14" fontId="14" fillId="3" borderId="2" xfId="0" applyNumberFormat="1" applyFont="1" applyFill="1" applyBorder="1" applyAlignment="1">
      <alignment horizontal="left"/>
    </xf>
    <xf numFmtId="14" fontId="14" fillId="3" borderId="3" xfId="0" applyNumberFormat="1" applyFont="1" applyFill="1" applyBorder="1" applyAlignment="1">
      <alignment horizontal="left"/>
    </xf>
    <xf numFmtId="0" fontId="1" fillId="0" borderId="0" xfId="0" applyFont="1" applyBorder="1" applyAlignment="1">
      <alignment horizontal="left" wrapText="1"/>
    </xf>
    <xf numFmtId="0" fontId="0" fillId="3" borderId="1" xfId="0" applyFill="1" applyBorder="1" applyAlignment="1">
      <alignment horizontal="left" vertical="top"/>
    </xf>
    <xf numFmtId="0" fontId="14" fillId="3" borderId="2" xfId="0" applyFont="1" applyFill="1" applyBorder="1" applyAlignment="1">
      <alignment horizontal="left"/>
    </xf>
    <xf numFmtId="0" fontId="14" fillId="3" borderId="3" xfId="0" applyFont="1" applyFill="1" applyBorder="1" applyAlignment="1">
      <alignment horizontal="left"/>
    </xf>
    <xf numFmtId="0" fontId="8" fillId="3" borderId="2" xfId="0" applyNumberFormat="1" applyFont="1" applyFill="1" applyBorder="1" applyAlignment="1">
      <alignment horizontal="left"/>
    </xf>
    <xf numFmtId="0" fontId="8" fillId="3" borderId="3" xfId="0" applyNumberFormat="1" applyFont="1" applyFill="1" applyBorder="1" applyAlignment="1">
      <alignment horizontal="left"/>
    </xf>
    <xf numFmtId="0" fontId="1" fillId="0" borderId="0" xfId="0" applyFont="1" applyBorder="1" applyAlignment="1">
      <alignment horizontal="left"/>
    </xf>
    <xf numFmtId="2" fontId="14" fillId="3" borderId="2" xfId="0" applyNumberFormat="1" applyFont="1" applyFill="1" applyBorder="1" applyAlignment="1">
      <alignment horizontal="left" vertical="center"/>
    </xf>
    <xf numFmtId="2" fontId="14" fillId="3" borderId="3" xfId="0" applyNumberFormat="1" applyFont="1" applyFill="1" applyBorder="1" applyAlignment="1">
      <alignment horizontal="left" vertical="center"/>
    </xf>
    <xf numFmtId="0" fontId="14" fillId="3" borderId="1" xfId="0" applyFont="1" applyFill="1" applyBorder="1" applyAlignment="1">
      <alignment horizontal="left" vertical="top" wrapText="1"/>
    </xf>
    <xf numFmtId="1" fontId="14" fillId="3" borderId="2" xfId="0" applyNumberFormat="1" applyFont="1" applyFill="1" applyBorder="1" applyAlignment="1">
      <alignment horizontal="left" vertical="center"/>
    </xf>
    <xf numFmtId="1" fontId="14" fillId="3" borderId="3" xfId="0" applyNumberFormat="1" applyFont="1" applyFill="1" applyBorder="1" applyAlignment="1">
      <alignment horizontal="left" vertical="center"/>
    </xf>
    <xf numFmtId="164" fontId="8" fillId="3" borderId="1" xfId="1" applyNumberFormat="1" applyFont="1" applyFill="1" applyBorder="1" applyAlignment="1">
      <alignment horizontal="left" vertical="center"/>
    </xf>
    <xf numFmtId="164" fontId="14" fillId="3" borderId="1" xfId="1" applyNumberFormat="1" applyFont="1" applyFill="1" applyBorder="1" applyAlignment="1">
      <alignment horizontal="left" vertical="center"/>
    </xf>
    <xf numFmtId="0" fontId="14" fillId="3" borderId="1" xfId="0" applyFont="1" applyFill="1" applyBorder="1" applyAlignment="1">
      <alignment horizontal="left" vertical="center"/>
    </xf>
    <xf numFmtId="14" fontId="8" fillId="3" borderId="2" xfId="0" applyNumberFormat="1" applyFont="1" applyFill="1" applyBorder="1" applyAlignment="1">
      <alignment horizontal="left" vertical="center"/>
    </xf>
    <xf numFmtId="14" fontId="8" fillId="3" borderId="3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horizontal="left" vertical="center"/>
    </xf>
    <xf numFmtId="0" fontId="1" fillId="0" borderId="0" xfId="0" applyFont="1" applyBorder="1" applyAlignment="1">
      <alignment horizontal="left" vertical="top" wrapText="1"/>
    </xf>
    <xf numFmtId="2" fontId="1" fillId="3" borderId="1" xfId="0" applyNumberFormat="1" applyFont="1" applyFill="1" applyBorder="1" applyAlignment="1">
      <alignment horizontal="left" vertical="center"/>
    </xf>
    <xf numFmtId="9" fontId="8" fillId="3" borderId="1" xfId="0" applyNumberFormat="1" applyFont="1" applyFill="1" applyBorder="1" applyAlignment="1">
      <alignment horizontal="left" vertical="center"/>
    </xf>
    <xf numFmtId="0" fontId="14" fillId="3" borderId="1" xfId="0" applyNumberFormat="1" applyFont="1" applyFill="1" applyBorder="1" applyAlignment="1">
      <alignment horizontal="left" vertical="center"/>
    </xf>
    <xf numFmtId="0" fontId="16" fillId="0" borderId="21" xfId="4" applyBorder="1" applyAlignment="1">
      <alignment horizontal="center" vertical="center" wrapText="1"/>
    </xf>
    <xf numFmtId="0" fontId="16" fillId="0" borderId="22" xfId="4" applyBorder="1" applyAlignment="1">
      <alignment horizontal="center" vertical="center" wrapText="1"/>
    </xf>
    <xf numFmtId="0" fontId="16" fillId="0" borderId="20" xfId="4" applyBorder="1" applyAlignment="1">
      <alignment horizontal="center" vertical="center" wrapText="1"/>
    </xf>
    <xf numFmtId="0" fontId="22" fillId="0" borderId="17" xfId="0" applyFont="1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16" fillId="0" borderId="17" xfId="4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7" xfId="0" applyBorder="1" applyAlignment="1">
      <alignment horizontal="right" vertical="center" wrapText="1"/>
    </xf>
    <xf numFmtId="0" fontId="0" fillId="0" borderId="17" xfId="0" applyBorder="1" applyAlignment="1">
      <alignment horizontal="right" wrapText="1"/>
    </xf>
    <xf numFmtId="4" fontId="11" fillId="0" borderId="23" xfId="6" applyNumberFormat="1" applyFont="1" applyFill="1" applyBorder="1" applyAlignment="1" applyProtection="1">
      <alignment horizontal="right"/>
      <protection locked="0"/>
    </xf>
    <xf numFmtId="4" fontId="11" fillId="0" borderId="19" xfId="6" applyNumberFormat="1" applyFont="1" applyFill="1" applyBorder="1" applyAlignment="1" applyProtection="1">
      <alignment horizontal="right"/>
      <protection locked="0"/>
    </xf>
    <xf numFmtId="0" fontId="11" fillId="0" borderId="2" xfId="0" applyFont="1" applyBorder="1" applyAlignment="1" applyProtection="1">
      <alignment horizontal="left"/>
      <protection locked="0"/>
    </xf>
    <xf numFmtId="0" fontId="11" fillId="0" borderId="3" xfId="0" applyFont="1" applyBorder="1" applyAlignment="1" applyProtection="1">
      <alignment horizontal="left"/>
      <protection locked="0"/>
    </xf>
    <xf numFmtId="4" fontId="29" fillId="13" borderId="23" xfId="6" applyNumberFormat="1" applyFont="1" applyFill="1" applyBorder="1" applyAlignment="1">
      <alignment horizontal="right"/>
    </xf>
    <xf numFmtId="4" fontId="29" fillId="13" borderId="19" xfId="6" applyNumberFormat="1" applyFont="1" applyFill="1" applyBorder="1" applyAlignment="1">
      <alignment horizontal="right"/>
    </xf>
    <xf numFmtId="0" fontId="28" fillId="0" borderId="10" xfId="0" applyFont="1" applyBorder="1" applyAlignment="1">
      <alignment horizontal="justify" vertical="top" wrapText="1"/>
    </xf>
    <xf numFmtId="0" fontId="28" fillId="0" borderId="11" xfId="0" applyFont="1" applyBorder="1" applyAlignment="1">
      <alignment horizontal="justify" vertical="top"/>
    </xf>
    <xf numFmtId="0" fontId="28" fillId="0" borderId="12" xfId="0" applyFont="1" applyBorder="1" applyAlignment="1">
      <alignment horizontal="justify" vertical="top"/>
    </xf>
    <xf numFmtId="0" fontId="28" fillId="0" borderId="13" xfId="0" applyFont="1" applyBorder="1" applyAlignment="1">
      <alignment horizontal="justify" vertical="top"/>
    </xf>
    <xf numFmtId="0" fontId="28" fillId="0" borderId="14" xfId="0" applyFont="1" applyBorder="1" applyAlignment="1">
      <alignment horizontal="justify" vertical="top"/>
    </xf>
    <xf numFmtId="0" fontId="28" fillId="0" borderId="15" xfId="0" applyFont="1" applyBorder="1" applyAlignment="1">
      <alignment horizontal="justify" vertical="top"/>
    </xf>
    <xf numFmtId="0" fontId="28" fillId="13" borderId="2" xfId="0" applyFont="1" applyFill="1" applyBorder="1" applyAlignment="1" applyProtection="1">
      <alignment horizontal="left"/>
      <protection locked="0"/>
    </xf>
    <xf numFmtId="0" fontId="28" fillId="13" borderId="3" xfId="0" applyFont="1" applyFill="1" applyBorder="1" applyAlignment="1" applyProtection="1">
      <alignment horizontal="left"/>
      <protection locked="0"/>
    </xf>
    <xf numFmtId="0" fontId="30" fillId="0" borderId="11" xfId="0" applyFont="1" applyBorder="1" applyAlignment="1" applyProtection="1">
      <alignment horizontal="justify" vertical="top"/>
      <protection locked="0"/>
    </xf>
    <xf numFmtId="0" fontId="30" fillId="0" borderId="14" xfId="0" applyFont="1" applyBorder="1" applyAlignment="1" applyProtection="1">
      <alignment horizontal="justify" vertical="top"/>
      <protection locked="0"/>
    </xf>
    <xf numFmtId="0" fontId="28" fillId="0" borderId="11" xfId="0" applyFont="1" applyBorder="1" applyAlignment="1" applyProtection="1">
      <alignment horizontal="center"/>
      <protection locked="0"/>
    </xf>
    <xf numFmtId="0" fontId="28" fillId="13" borderId="1" xfId="0" applyFont="1" applyFill="1" applyBorder="1" applyAlignment="1" applyProtection="1">
      <alignment horizontal="center"/>
      <protection locked="0"/>
    </xf>
    <xf numFmtId="0" fontId="30" fillId="13" borderId="10" xfId="0" applyFont="1" applyFill="1" applyBorder="1" applyAlignment="1">
      <alignment horizontal="center" wrapText="1"/>
    </xf>
    <xf numFmtId="0" fontId="30" fillId="13" borderId="12" xfId="0" applyFont="1" applyFill="1" applyBorder="1" applyAlignment="1">
      <alignment horizontal="center" wrapText="1"/>
    </xf>
    <xf numFmtId="0" fontId="30" fillId="13" borderId="13" xfId="0" applyFont="1" applyFill="1" applyBorder="1" applyAlignment="1">
      <alignment horizontal="center" wrapText="1"/>
    </xf>
    <xf numFmtId="0" fontId="30" fillId="13" borderId="15" xfId="0" applyFont="1" applyFill="1" applyBorder="1" applyAlignment="1">
      <alignment horizontal="center" wrapText="1"/>
    </xf>
    <xf numFmtId="0" fontId="31" fillId="0" borderId="2" xfId="0" applyFont="1" applyBorder="1" applyProtection="1">
      <protection locked="0"/>
    </xf>
    <xf numFmtId="0" fontId="31" fillId="0" borderId="3" xfId="0" applyFont="1" applyBorder="1" applyProtection="1">
      <protection locked="0"/>
    </xf>
    <xf numFmtId="0" fontId="32" fillId="0" borderId="2" xfId="0" applyFont="1" applyBorder="1" applyAlignment="1" applyProtection="1">
      <alignment horizontal="left"/>
      <protection locked="0"/>
    </xf>
    <xf numFmtId="0" fontId="32" fillId="0" borderId="4" xfId="0" applyFont="1" applyBorder="1" applyAlignment="1" applyProtection="1">
      <alignment horizontal="left"/>
      <protection locked="0"/>
    </xf>
    <xf numFmtId="0" fontId="31" fillId="0" borderId="2" xfId="0" applyFont="1" applyBorder="1" applyAlignment="1" applyProtection="1">
      <alignment horizontal="left"/>
      <protection locked="0"/>
    </xf>
    <xf numFmtId="0" fontId="31" fillId="0" borderId="3" xfId="0" applyFont="1" applyBorder="1" applyAlignment="1" applyProtection="1">
      <alignment horizontal="left"/>
      <protection locked="0"/>
    </xf>
    <xf numFmtId="169" fontId="29" fillId="13" borderId="23" xfId="0" applyNumberFormat="1" applyFont="1" applyFill="1" applyBorder="1" applyAlignment="1" applyProtection="1">
      <alignment horizontal="center"/>
      <protection locked="0"/>
    </xf>
    <xf numFmtId="169" fontId="29" fillId="13" borderId="19" xfId="0" applyNumberFormat="1" applyFont="1" applyFill="1" applyBorder="1" applyAlignment="1" applyProtection="1">
      <alignment horizontal="center"/>
      <protection locked="0"/>
    </xf>
    <xf numFmtId="0" fontId="34" fillId="0" borderId="0" xfId="0" applyFont="1" applyAlignment="1">
      <alignment horizontal="center" vertical="center" wrapText="1"/>
    </xf>
    <xf numFmtId="0" fontId="31" fillId="13" borderId="10" xfId="0" applyFont="1" applyFill="1" applyBorder="1" applyAlignment="1" applyProtection="1">
      <alignment vertical="top" wrapText="1"/>
      <protection locked="0"/>
    </xf>
    <xf numFmtId="0" fontId="31" fillId="13" borderId="12" xfId="0" applyFont="1" applyFill="1" applyBorder="1" applyAlignment="1" applyProtection="1">
      <alignment vertical="top" wrapText="1"/>
      <protection locked="0"/>
    </xf>
    <xf numFmtId="0" fontId="31" fillId="13" borderId="13" xfId="0" applyFont="1" applyFill="1" applyBorder="1" applyAlignment="1" applyProtection="1">
      <alignment vertical="top" wrapText="1"/>
      <protection locked="0"/>
    </xf>
    <xf numFmtId="0" fontId="31" fillId="13" borderId="15" xfId="0" applyFont="1" applyFill="1" applyBorder="1" applyAlignment="1" applyProtection="1">
      <alignment vertical="top" wrapText="1"/>
      <protection locked="0"/>
    </xf>
    <xf numFmtId="0" fontId="29" fillId="0" borderId="2" xfId="0" applyFont="1" applyBorder="1" applyAlignment="1">
      <alignment horizontal="center"/>
    </xf>
    <xf numFmtId="0" fontId="29" fillId="0" borderId="4" xfId="0" applyFont="1" applyBorder="1" applyAlignment="1">
      <alignment horizontal="center"/>
    </xf>
    <xf numFmtId="0" fontId="29" fillId="0" borderId="3" xfId="0" applyFont="1" applyBorder="1" applyAlignment="1">
      <alignment horizontal="center"/>
    </xf>
    <xf numFmtId="0" fontId="28" fillId="0" borderId="2" xfId="0" applyFont="1" applyBorder="1" applyAlignment="1">
      <alignment horizontal="center"/>
    </xf>
    <xf numFmtId="0" fontId="28" fillId="0" borderId="4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28" fillId="0" borderId="13" xfId="0" applyFont="1" applyBorder="1" applyAlignment="1">
      <alignment horizontal="center"/>
    </xf>
    <xf numFmtId="0" fontId="28" fillId="0" borderId="15" xfId="0" applyFont="1" applyBorder="1" applyAlignment="1">
      <alignment horizontal="center"/>
    </xf>
    <xf numFmtId="0" fontId="37" fillId="4" borderId="0" xfId="8" applyFont="1" applyFill="1" applyAlignment="1">
      <alignment horizontal="left" vertical="center" wrapText="1"/>
    </xf>
    <xf numFmtId="0" fontId="38" fillId="4" borderId="32" xfId="8" applyFont="1" applyFill="1" applyBorder="1" applyAlignment="1">
      <alignment horizontal="center" vertical="center" wrapText="1"/>
    </xf>
    <xf numFmtId="0" fontId="38" fillId="4" borderId="31" xfId="8" applyFont="1" applyFill="1" applyBorder="1" applyAlignment="1">
      <alignment horizontal="center" vertical="center" wrapText="1"/>
    </xf>
    <xf numFmtId="0" fontId="38" fillId="4" borderId="30" xfId="8" applyFont="1" applyFill="1" applyBorder="1" applyAlignment="1">
      <alignment horizontal="center" vertical="center" wrapText="1"/>
    </xf>
    <xf numFmtId="0" fontId="37" fillId="4" borderId="28" xfId="8" applyFont="1" applyFill="1" applyBorder="1" applyAlignment="1">
      <alignment horizontal="center" vertical="center" wrapText="1"/>
    </xf>
    <xf numFmtId="0" fontId="37" fillId="4" borderId="4" xfId="8" applyFont="1" applyFill="1" applyBorder="1" applyAlignment="1">
      <alignment horizontal="center" vertical="center" wrapText="1"/>
    </xf>
    <xf numFmtId="0" fontId="37" fillId="4" borderId="29" xfId="8" applyFont="1" applyFill="1" applyBorder="1" applyAlignment="1">
      <alignment horizontal="center" vertical="center" wrapText="1"/>
    </xf>
    <xf numFmtId="0" fontId="37" fillId="4" borderId="1" xfId="8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left" vertical="center" wrapText="1"/>
    </xf>
    <xf numFmtId="0" fontId="1" fillId="0" borderId="5" xfId="0" applyFont="1" applyBorder="1" applyAlignment="1">
      <alignment horizontal="left" vertical="center" wrapText="1"/>
    </xf>
    <xf numFmtId="14" fontId="14" fillId="3" borderId="2" xfId="0" applyNumberFormat="1" applyFont="1" applyFill="1" applyBorder="1" applyAlignment="1">
      <alignment horizontal="center" vertical="center"/>
    </xf>
    <xf numFmtId="14" fontId="14" fillId="3" borderId="3" xfId="0" applyNumberFormat="1" applyFont="1" applyFill="1" applyBorder="1" applyAlignment="1">
      <alignment horizontal="center" vertical="center"/>
    </xf>
    <xf numFmtId="14" fontId="8" fillId="3" borderId="2" xfId="0" applyNumberFormat="1" applyFont="1" applyFill="1" applyBorder="1" applyAlignment="1">
      <alignment horizontal="center" vertical="center"/>
    </xf>
    <xf numFmtId="14" fontId="8" fillId="3" borderId="3" xfId="0" applyNumberFormat="1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3" borderId="2" xfId="0" applyNumberFormat="1" applyFont="1" applyFill="1" applyBorder="1" applyAlignment="1">
      <alignment horizontal="left" vertical="center"/>
    </xf>
    <xf numFmtId="0" fontId="8" fillId="3" borderId="3" xfId="0" applyNumberFormat="1" applyFont="1" applyFill="1" applyBorder="1" applyAlignment="1">
      <alignment horizontal="left" vertical="center"/>
    </xf>
    <xf numFmtId="0" fontId="0" fillId="3" borderId="0" xfId="0" applyFill="1" applyBorder="1" applyAlignment="1">
      <alignment horizontal="center"/>
    </xf>
    <xf numFmtId="165" fontId="8" fillId="3" borderId="1" xfId="0" applyNumberFormat="1" applyFont="1" applyFill="1" applyBorder="1" applyAlignment="1">
      <alignment horizontal="left"/>
    </xf>
    <xf numFmtId="3" fontId="8" fillId="3" borderId="2" xfId="2" applyNumberFormat="1" applyFont="1" applyFill="1" applyBorder="1" applyAlignment="1">
      <alignment horizontal="center"/>
    </xf>
    <xf numFmtId="3" fontId="8" fillId="3" borderId="4" xfId="2" applyNumberFormat="1" applyFont="1" applyFill="1" applyBorder="1" applyAlignment="1">
      <alignment horizontal="center"/>
    </xf>
    <xf numFmtId="3" fontId="8" fillId="3" borderId="3" xfId="2" applyNumberFormat="1" applyFont="1" applyFill="1" applyBorder="1" applyAlignment="1">
      <alignment horizontal="center"/>
    </xf>
    <xf numFmtId="0" fontId="8" fillId="3" borderId="2" xfId="2" applyNumberFormat="1" applyFont="1" applyFill="1" applyBorder="1" applyAlignment="1">
      <alignment horizontal="center"/>
    </xf>
    <xf numFmtId="0" fontId="8" fillId="3" borderId="4" xfId="2" applyNumberFormat="1" applyFont="1" applyFill="1" applyBorder="1" applyAlignment="1">
      <alignment horizontal="center"/>
    </xf>
    <xf numFmtId="0" fontId="8" fillId="3" borderId="3" xfId="2" applyNumberFormat="1" applyFont="1" applyFill="1" applyBorder="1" applyAlignment="1">
      <alignment horizontal="center"/>
    </xf>
    <xf numFmtId="0" fontId="21" fillId="7" borderId="9" xfId="0" applyFont="1" applyFill="1" applyBorder="1" applyAlignment="1">
      <alignment horizontal="center"/>
    </xf>
    <xf numFmtId="0" fontId="21" fillId="7" borderId="0" xfId="0" applyFont="1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21" fillId="3" borderId="0" xfId="0" applyFont="1" applyFill="1" applyAlignment="1">
      <alignment horizontal="left" vertical="center"/>
    </xf>
    <xf numFmtId="44" fontId="8" fillId="3" borderId="4" xfId="0" applyNumberFormat="1" applyFont="1" applyFill="1" applyBorder="1" applyAlignment="1">
      <alignment horizontal="left" vertical="center"/>
    </xf>
    <xf numFmtId="171" fontId="8" fillId="3" borderId="2" xfId="0" applyNumberFormat="1" applyFont="1" applyFill="1" applyBorder="1" applyAlignment="1">
      <alignment horizontal="left" vertical="center"/>
    </xf>
    <xf numFmtId="0" fontId="8" fillId="3" borderId="1" xfId="0" applyNumberFormat="1" applyFont="1" applyFill="1" applyBorder="1" applyAlignment="1">
      <alignment horizontal="left" vertical="center"/>
    </xf>
    <xf numFmtId="44" fontId="8" fillId="3" borderId="23" xfId="0" applyNumberFormat="1" applyFont="1" applyFill="1" applyBorder="1" applyAlignment="1">
      <alignment horizontal="left" vertical="center"/>
    </xf>
  </cellXfs>
  <cellStyles count="9">
    <cellStyle name="Hipervínculo" xfId="4" builtinId="8"/>
    <cellStyle name="Millares" xfId="2" builtinId="3"/>
    <cellStyle name="Millares 2" xfId="3" xr:uid="{0E6048EF-C44A-4C1B-A742-38666F0B5865}"/>
    <cellStyle name="Millares 3" xfId="7" xr:uid="{E7B2430B-B85E-4A45-9C10-3FF54299DBF5}"/>
    <cellStyle name="Moneda" xfId="1" builtinId="4"/>
    <cellStyle name="Moneda 2" xfId="6" xr:uid="{3CCEBE49-C77D-485D-97E1-4C77FE2B6F9C}"/>
    <cellStyle name="Normal" xfId="0" builtinId="0"/>
    <cellStyle name="Normal_TABLA_DE_FITTO_Y_CORVINI" xfId="8" xr:uid="{CFBB033E-B749-4520-942A-720C77243895}"/>
    <cellStyle name="Porcentaje" xfId="5" builtinId="5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 Cond"/>
        <family val="2"/>
        <scheme val="none"/>
      </font>
      <numFmt numFmtId="171" formatCode="&quot;$&quot;#,##0.00"/>
      <fill>
        <patternFill patternType="solid">
          <fgColor indexed="64"/>
          <bgColor theme="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 Cond"/>
        <family val="2"/>
        <scheme val="none"/>
      </font>
      <numFmt numFmtId="34" formatCode="_-&quot;$&quot;\ * #,##0.00_-;\-&quot;$&quot;\ * #,##0.00_-;_-&quot;$&quot;\ * &quot;-&quot;??_-;_-@_-"/>
      <fill>
        <patternFill patternType="solid">
          <fgColor indexed="64"/>
          <bgColor theme="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 Cond"/>
        <family val="2"/>
        <scheme val="none"/>
      </font>
      <numFmt numFmtId="0" formatCode="General"/>
      <fill>
        <patternFill patternType="solid">
          <fgColor indexed="64"/>
          <bgColor theme="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 Cond"/>
        <family val="2"/>
        <scheme val="none"/>
      </font>
      <numFmt numFmtId="0" formatCode="General"/>
      <fill>
        <patternFill patternType="solid">
          <fgColor indexed="64"/>
          <bgColor theme="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 Cond"/>
        <family val="2"/>
        <scheme val="none"/>
      </font>
      <numFmt numFmtId="1" formatCode="0"/>
      <fill>
        <patternFill patternType="solid">
          <fgColor indexed="64"/>
          <bgColor theme="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ell MT"/>
        <family val="1"/>
        <scheme val="none"/>
      </font>
      <numFmt numFmtId="19" formatCode="d/mm/yyyy"/>
      <fill>
        <patternFill patternType="solid">
          <fgColor indexed="64"/>
          <bgColor theme="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 Cond"/>
        <family val="2"/>
        <scheme val="none"/>
      </font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 Nova Cond"/>
        <family val="2"/>
        <scheme val="none"/>
      </font>
      <fill>
        <patternFill patternType="solid">
          <fgColor theme="6"/>
          <bgColor theme="6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 Cond"/>
        <family val="2"/>
        <scheme val="none"/>
      </font>
      <numFmt numFmtId="0" formatCode="General"/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Cond"/>
        <family val="2"/>
        <scheme val="none"/>
      </font>
      <numFmt numFmtId="0" formatCode="General"/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Cond"/>
        <family val="2"/>
        <scheme val="none"/>
      </font>
      <numFmt numFmtId="0" formatCode="General"/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family val="1"/>
        <scheme val="none"/>
      </font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 Nova Cond"/>
        <family val="2"/>
        <scheme val="none"/>
      </font>
      <fill>
        <patternFill patternType="solid">
          <fgColor theme="6"/>
          <bgColor theme="6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ell MT"/>
        <family val="1"/>
        <scheme val="none"/>
      </font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ell MT"/>
        <family val="1"/>
        <scheme val="none"/>
      </font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ell MT"/>
        <family val="1"/>
        <scheme val="none"/>
      </font>
      <numFmt numFmtId="19" formatCode="d/mm/yyyy"/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ell MT"/>
        <family val="1"/>
        <scheme val="none"/>
      </font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 Cond"/>
        <family val="2"/>
        <scheme val="none"/>
      </font>
      <numFmt numFmtId="19" formatCode="d/mm/yyyy"/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 Cond"/>
        <family val="2"/>
        <scheme val="none"/>
      </font>
      <numFmt numFmtId="0" formatCode="General"/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 Cond"/>
        <family val="2"/>
        <scheme val="none"/>
      </font>
      <numFmt numFmtId="0" formatCode="General"/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 Cond"/>
        <family val="2"/>
        <scheme val="none"/>
      </font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 Nova Cond"/>
        <family val="2"/>
        <scheme val="none"/>
      </font>
      <fill>
        <patternFill patternType="solid">
          <fgColor theme="6"/>
          <bgColor theme="6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ell MT"/>
        <family val="1"/>
        <scheme val="none"/>
      </font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 Cond"/>
        <family val="2"/>
        <scheme val="none"/>
      </font>
      <numFmt numFmtId="1" formatCode="0"/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 Cond"/>
        <family val="2"/>
        <scheme val="none"/>
      </font>
      <numFmt numFmtId="19" formatCode="d/mm/yyyy"/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 Cond"/>
        <family val="2"/>
        <scheme val="none"/>
      </font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theme="6"/>
        </top>
      </border>
    </dxf>
    <dxf>
      <font>
        <strike val="0"/>
        <outline val="0"/>
        <shadow val="0"/>
        <u val="none"/>
        <vertAlign val="baseline"/>
        <sz val="14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 Nova Cond"/>
        <family val="2"/>
        <scheme val="none"/>
      </font>
      <fill>
        <patternFill patternType="solid">
          <fgColor theme="6"/>
          <bgColor theme="6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0"/>
        <name val="Bell MT"/>
        <family val="1"/>
        <scheme val="none"/>
      </font>
      <numFmt numFmtId="19" formatCode="d/mm/yyyy"/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Nova Cond"/>
        <family val="2"/>
        <scheme val="none"/>
      </font>
      <numFmt numFmtId="19" formatCode="d/mm/yyyy"/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Nova Cond"/>
        <family val="2"/>
        <scheme val="none"/>
      </font>
      <numFmt numFmtId="19" formatCode="d/mm/yyyy"/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Nova Cond"/>
        <family val="2"/>
        <scheme val="none"/>
      </font>
      <numFmt numFmtId="19" formatCode="d/mm/yyyy"/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Nova Cond"/>
        <family val="2"/>
        <scheme val="none"/>
      </font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Nova Cond"/>
        <family val="2"/>
        <scheme val="none"/>
      </font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Bell MT"/>
        <family val="1"/>
        <scheme val="none"/>
      </font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 Nova Cond"/>
        <family val="2"/>
        <scheme val="none"/>
      </font>
      <fill>
        <patternFill patternType="solid">
          <fgColor theme="6"/>
          <bgColor theme="6"/>
        </patternFill>
      </fill>
      <alignment horizontal="center" vertical="bottom"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12529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12529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12529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border outline="0"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12529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border outline="0"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12529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border outline="0"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12529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border outline="0"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12529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border outline="0"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12529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border outline="0"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12529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border outline="0"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12529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12529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12529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213360</xdr:colOff>
      <xdr:row>11</xdr:row>
      <xdr:rowOff>160020</xdr:rowOff>
    </xdr:from>
    <xdr:to>
      <xdr:col>12</xdr:col>
      <xdr:colOff>129540</xdr:colOff>
      <xdr:row>13</xdr:row>
      <xdr:rowOff>144780</xdr:rowOff>
    </xdr:to>
    <xdr:sp macro="[0]!Módulo2.Grab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B649E61-208D-42E3-92E8-EBA8FF2A1DA4}"/>
            </a:ext>
          </a:extLst>
        </xdr:cNvPr>
        <xdr:cNvSpPr/>
      </xdr:nvSpPr>
      <xdr:spPr>
        <a:xfrm>
          <a:off x="11765280" y="2331720"/>
          <a:ext cx="807720" cy="35052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INSERTAR</a:t>
          </a:r>
        </a:p>
      </xdr:txBody>
    </xdr:sp>
    <xdr:clientData/>
  </xdr:twoCellAnchor>
  <xdr:twoCellAnchor>
    <xdr:from>
      <xdr:col>12</xdr:col>
      <xdr:colOff>441960</xdr:colOff>
      <xdr:row>11</xdr:row>
      <xdr:rowOff>152400</xdr:rowOff>
    </xdr:from>
    <xdr:to>
      <xdr:col>13</xdr:col>
      <xdr:colOff>655320</xdr:colOff>
      <xdr:row>13</xdr:row>
      <xdr:rowOff>121920</xdr:rowOff>
    </xdr:to>
    <xdr:sp macro="[0]!Módulo2.Elimin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5E8C36DB-CE01-42E5-A018-0F7A78381D99}"/>
            </a:ext>
          </a:extLst>
        </xdr:cNvPr>
        <xdr:cNvSpPr/>
      </xdr:nvSpPr>
      <xdr:spPr>
        <a:xfrm>
          <a:off x="12885420" y="2324100"/>
          <a:ext cx="838200" cy="33528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ELIMINAR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502920</xdr:colOff>
      <xdr:row>11</xdr:row>
      <xdr:rowOff>22860</xdr:rowOff>
    </xdr:from>
    <xdr:to>
      <xdr:col>14</xdr:col>
      <xdr:colOff>594360</xdr:colOff>
      <xdr:row>13</xdr:row>
      <xdr:rowOff>22860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56B357A6-24BD-4FD0-AA26-F4F06D33144E}"/>
            </a:ext>
          </a:extLst>
        </xdr:cNvPr>
        <xdr:cNvGrpSpPr/>
      </xdr:nvGrpSpPr>
      <xdr:grpSpPr>
        <a:xfrm>
          <a:off x="12031980" y="2164080"/>
          <a:ext cx="883920" cy="358140"/>
          <a:chOff x="11231880" y="2148840"/>
          <a:chExt cx="883920" cy="358140"/>
        </a:xfrm>
      </xdr:grpSpPr>
      <xdr:sp macro="[0]!Módulo3.Grabar" textlink="">
        <xdr:nvSpPr>
          <xdr:cNvPr id="2" name="Rectángulo: esquinas redondeadas 1">
            <a:extLst>
              <a:ext uri="{FF2B5EF4-FFF2-40B4-BE49-F238E27FC236}">
                <a16:creationId xmlns:a16="http://schemas.microsoft.com/office/drawing/2014/main" id="{733F3B7D-1787-4EE7-A808-CCAE86FBDD95}"/>
              </a:ext>
            </a:extLst>
          </xdr:cNvPr>
          <xdr:cNvSpPr/>
        </xdr:nvSpPr>
        <xdr:spPr>
          <a:xfrm>
            <a:off x="11231880" y="2148840"/>
            <a:ext cx="883920" cy="358140"/>
          </a:xfrm>
          <a:prstGeom prst="roundRect">
            <a:avLst/>
          </a:prstGeom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pic macro="[0]!Módulo3.Grabar">
        <xdr:nvPicPr>
          <xdr:cNvPr id="4" name="Imagen 3">
            <a:extLst>
              <a:ext uri="{FF2B5EF4-FFF2-40B4-BE49-F238E27FC236}">
                <a16:creationId xmlns:a16="http://schemas.microsoft.com/office/drawing/2014/main" id="{962E6AC4-AD1A-427F-A3E8-39BD3FC77D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300460" y="2194560"/>
            <a:ext cx="725487" cy="29873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739140</xdr:colOff>
      <xdr:row>11</xdr:row>
      <xdr:rowOff>22860</xdr:rowOff>
    </xdr:from>
    <xdr:to>
      <xdr:col>16</xdr:col>
      <xdr:colOff>38100</xdr:colOff>
      <xdr:row>13</xdr:row>
      <xdr:rowOff>22860</xdr:rowOff>
    </xdr:to>
    <xdr:sp macro="[0]!Módulo3.Eliminar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2A7079BD-2240-4D8E-AE46-113ABBB451A4}"/>
            </a:ext>
          </a:extLst>
        </xdr:cNvPr>
        <xdr:cNvSpPr/>
      </xdr:nvSpPr>
      <xdr:spPr>
        <a:xfrm>
          <a:off x="12260580" y="2148840"/>
          <a:ext cx="883920" cy="35814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ELIMINAR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236220</xdr:colOff>
      <xdr:row>11</xdr:row>
      <xdr:rowOff>7620</xdr:rowOff>
    </xdr:from>
    <xdr:to>
      <xdr:col>14</xdr:col>
      <xdr:colOff>327660</xdr:colOff>
      <xdr:row>13</xdr:row>
      <xdr:rowOff>0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42A5DF58-C1BB-43E6-AE85-31062109B727}"/>
            </a:ext>
          </a:extLst>
        </xdr:cNvPr>
        <xdr:cNvGrpSpPr/>
      </xdr:nvGrpSpPr>
      <xdr:grpSpPr>
        <a:xfrm>
          <a:off x="11894820" y="2255520"/>
          <a:ext cx="883920" cy="358140"/>
          <a:chOff x="11231880" y="2148840"/>
          <a:chExt cx="883920" cy="358140"/>
        </a:xfrm>
      </xdr:grpSpPr>
      <xdr:sp macro="[0]!Módulo5.Grabar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17B91371-5EE5-424B-8FE3-B38D2E8F1D18}"/>
              </a:ext>
            </a:extLst>
          </xdr:cNvPr>
          <xdr:cNvSpPr/>
        </xdr:nvSpPr>
        <xdr:spPr>
          <a:xfrm>
            <a:off x="11231880" y="2148840"/>
            <a:ext cx="883920" cy="358140"/>
          </a:xfrm>
          <a:prstGeom prst="roundRect">
            <a:avLst/>
          </a:prstGeom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pic macro="[0]!Módulo5.Grabar">
        <xdr:nvPicPr>
          <xdr:cNvPr id="4" name="Imagen 3">
            <a:extLst>
              <a:ext uri="{FF2B5EF4-FFF2-40B4-BE49-F238E27FC236}">
                <a16:creationId xmlns:a16="http://schemas.microsoft.com/office/drawing/2014/main" id="{F963ADED-AD04-4E0B-B045-BB9AA7F937D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300460" y="2194560"/>
            <a:ext cx="725487" cy="29873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640080</xdr:colOff>
      <xdr:row>10</xdr:row>
      <xdr:rowOff>167640</xdr:rowOff>
    </xdr:from>
    <xdr:to>
      <xdr:col>15</xdr:col>
      <xdr:colOff>731520</xdr:colOff>
      <xdr:row>12</xdr:row>
      <xdr:rowOff>160020</xdr:rowOff>
    </xdr:to>
    <xdr:sp macro="[0]!Módulo5.Eliminar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8FB9004D-A783-44D7-98C2-E58483678E57}"/>
            </a:ext>
          </a:extLst>
        </xdr:cNvPr>
        <xdr:cNvSpPr/>
      </xdr:nvSpPr>
      <xdr:spPr>
        <a:xfrm>
          <a:off x="12573000" y="2232660"/>
          <a:ext cx="883920" cy="35814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ELIMINAR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AVALUOS%20COMERCIALES\ENTIDADES%20FINANCIERAS\CASA%20LA%20GUACA\Formato%20(Excel%20Multipesta&#241;a)%20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uchi/Downloads/F.AnexoGIA_Bancol_V.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"/>
      <sheetName val="FUA"/>
      <sheetName val="PORTADA"/>
      <sheetName val="DESARROLLO 1"/>
      <sheetName val="DESARROLLO 2"/>
      <sheetName val="LT"/>
      <sheetName val="PH"/>
      <sheetName val="VALOR"/>
      <sheetName val="PLANOS"/>
      <sheetName val="FOTOS 1 "/>
      <sheetName val="FOTOS 2"/>
      <sheetName val="FOTOS 3"/>
      <sheetName val="ANEXOS (3)"/>
      <sheetName val="REPOSICION"/>
      <sheetName val="Formato (Excel Multipestaña) "/>
    </sheetNames>
    <sheetDataSet>
      <sheetData sheetId="0">
        <row r="5">
          <cell r="B5" t="str">
            <v>Originación</v>
          </cell>
          <cell r="J5" t="str">
            <v>Si</v>
          </cell>
        </row>
        <row r="6">
          <cell r="B6" t="str">
            <v>Actualización</v>
          </cell>
          <cell r="J6" t="str">
            <v xml:space="preserve">No </v>
          </cell>
        </row>
        <row r="7">
          <cell r="B7" t="str">
            <v>Reconsideración</v>
          </cell>
          <cell r="J7" t="str">
            <v>Parcial</v>
          </cell>
        </row>
        <row r="8">
          <cell r="B8" t="str">
            <v>Remate</v>
          </cell>
        </row>
        <row r="9">
          <cell r="B9" t="str">
            <v>Dación en pago</v>
          </cell>
        </row>
        <row r="10">
          <cell r="B10" t="str">
            <v>Desafectación</v>
          </cell>
        </row>
        <row r="11">
          <cell r="B11" t="str">
            <v>Normalización</v>
          </cell>
        </row>
      </sheetData>
      <sheetData sheetId="1"/>
      <sheetData sheetId="2"/>
      <sheetData sheetId="3"/>
      <sheetData sheetId="4"/>
      <sheetData sheetId="5"/>
      <sheetData sheetId="6">
        <row r="188">
          <cell r="BI188" t="str">
            <v>VIS sin ascensor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encias"/>
      <sheetName val="FUA"/>
      <sheetName val="DESARROLLO 1"/>
      <sheetName val="LT"/>
      <sheetName val="PH"/>
      <sheetName val="PLANOS"/>
      <sheetName val="DOCUMENTOS 1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88">
          <cell r="BI188" t="str">
            <v>VIS sin ascensor</v>
          </cell>
        </row>
        <row r="189">
          <cell r="BI189" t="str">
            <v>VIS con ascensor</v>
          </cell>
        </row>
        <row r="190">
          <cell r="BI190" t="str">
            <v>Estrato Medio con ascensor</v>
          </cell>
        </row>
        <row r="191">
          <cell r="BI191" t="str">
            <v>Estrato Medio sin ascensor</v>
          </cell>
        </row>
        <row r="192">
          <cell r="BI192" t="str">
            <v>Estrato Alto</v>
          </cell>
        </row>
      </sheetData>
      <sheetData sheetId="5" refreshError="1"/>
      <sheetData sheetId="6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10E5A8-63BE-4F00-B345-AE5E6CE291D1}" name="Tabla2" displayName="Tabla2" ref="B3:B5" totalsRowShown="0">
  <autoFilter ref="B3:B5" xr:uid="{DF10E5A8-63BE-4F00-B345-AE5E6CE291D1}"/>
  <tableColumns count="1">
    <tableColumn id="1" xr3:uid="{D7C1F524-70EC-47EB-A66D-8B21828B6C47}" name="Tipo avalúo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EE1165-79D9-4B0E-8E72-F2A3BAE8DC91}" name="Tabla3" displayName="Tabla3" ref="D3:D5" totalsRowShown="0">
  <autoFilter ref="D3:D5" xr:uid="{45EE1165-79D9-4B0E-8E72-F2A3BAE8DC91}"/>
  <tableColumns count="1">
    <tableColumn id="1" xr3:uid="{1A1CBA72-19A6-4135-BF51-923C1D5A5888}" name="Empresa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C5ACD7-03F1-45F5-B714-B6DC84928B80}" name="Tabla5" displayName="Tabla5" ref="F3:F6" totalsRowShown="0">
  <autoFilter ref="F3:F6" xr:uid="{73C5ACD7-03F1-45F5-B714-B6DC84928B80}"/>
  <tableColumns count="1">
    <tableColumn id="1" xr3:uid="{AF6957BF-ED30-488A-B63C-EC71393DF944}" name="Solicitante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98E769E-47BC-4A81-8BC8-FB675E84BAF4}" name="Tabla7" displayName="Tabla7" ref="B14:B19" totalsRowShown="0">
  <autoFilter ref="B14:B19" xr:uid="{098E769E-47BC-4A81-8BC8-FB675E84BAF4}"/>
  <tableColumns count="1">
    <tableColumn id="1" xr3:uid="{3B98BBFA-87D0-42C9-93E8-3430953D221A}" name="Tipo de Cedul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220B500-8889-46B9-9E1B-DFEDA5510858}" name="Tabla8" displayName="Tabla8" ref="B22:B25" totalsRowShown="0">
  <autoFilter ref="B22:B25" xr:uid="{8220B500-8889-46B9-9E1B-DFEDA5510858}"/>
  <tableColumns count="1">
    <tableColumn id="1" xr3:uid="{B3D1D71E-09A5-4877-B2CC-2175A0A45A54}" name="Sector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6B7922E-1C57-4FFD-95B4-A14160F0C985}" name="Tabla9" displayName="Tabla9" ref="B27:B60" totalsRowShown="0" dataDxfId="59">
  <autoFilter ref="B27:B60" xr:uid="{46B7922E-1C57-4FFD-95B4-A14160F0C985}"/>
  <tableColumns count="1">
    <tableColumn id="1" xr3:uid="{7ABAF436-C5E6-4977-B298-69F4A3D24531}" name="Departamento" dataDxfId="58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ABB8E1A-A61E-4C47-B029-658323E8FBDF}" name="Tabla11" displayName="Tabla11" ref="H3:H7" totalsRowShown="0">
  <autoFilter ref="H3:H7" xr:uid="{4ABB8E1A-A61E-4C47-B029-658323E8FBDF}"/>
  <tableColumns count="1">
    <tableColumn id="1" xr3:uid="{DBA86EBA-5B93-4A4D-8F0C-0D4CB562741B}" name="Condiciones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2F34AF6-5259-4A43-B404-0735EA33F74D}" name="Tabla12" displayName="Tabla12" ref="K3:K6" totalsRowShown="0">
  <autoFilter ref="K3:K6" xr:uid="{E2F34AF6-5259-4A43-B404-0735EA33F74D}"/>
  <tableColumns count="1">
    <tableColumn id="1" xr3:uid="{62BC1B7E-BFD5-4DF3-A501-C1985B10E147}" name="Condicional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FF0BE6E-9215-4742-8DE0-8C18EDCE6F0E}" name="Tabla13" displayName="Tabla13" ref="M3:M5" totalsRowShown="0" headerRowDxfId="57" tableBorderDxfId="56">
  <autoFilter ref="M3:M5" xr:uid="{2FF0BE6E-9215-4742-8DE0-8C18EDCE6F0E}"/>
  <tableColumns count="1">
    <tableColumn id="1" xr3:uid="{E39BA145-0697-45EA-98F9-B951014A140A}" name="Amazona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FA951A2-2920-454D-8A34-B42A9806949D}" name="Tabla14" displayName="Tabla14" ref="N3:N66" totalsRowShown="0" headerRowDxfId="55" tableBorderDxfId="54">
  <autoFilter ref="N3:N66" xr:uid="{CFA951A2-2920-454D-8A34-B42A9806949D}"/>
  <tableColumns count="1">
    <tableColumn id="1" xr3:uid="{3D898D9C-857E-4348-B9D5-CB9E0AC54CAB}" name="Antioquia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5DED031-A513-478F-9A1D-F5A7A118B994}" name="Tabla15" displayName="Tabla15" ref="P3:P11" totalsRowShown="0" headerRowDxfId="53" tableBorderDxfId="52">
  <autoFilter ref="P3:P11" xr:uid="{75DED031-A513-478F-9A1D-F5A7A118B994}"/>
  <tableColumns count="1">
    <tableColumn id="1" xr3:uid="{F1541F50-BDCF-427F-A13C-006B3F3E4B06}" name="Arauca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AAF7E76-2187-41B2-BFF6-C6C6C13BD884}" name="Tabla16" displayName="Tabla16" ref="R3:R21" totalsRowShown="0" headerRowDxfId="51" tableBorderDxfId="50">
  <autoFilter ref="R3:R21" xr:uid="{AAAF7E76-2187-41B2-BFF6-C6C6C13BD884}"/>
  <tableColumns count="1">
    <tableColumn id="1" xr3:uid="{EC2CDA77-D617-452A-9AC0-9143236CB64C}" name="Atlántico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C1AF2EB-7FA7-41B0-A38B-856E89BAF074}" name="Tabla17" displayName="Tabla17" ref="T3:T18" totalsRowShown="0" headerRowDxfId="49" tableBorderDxfId="48">
  <autoFilter ref="T3:T18" xr:uid="{8C1AF2EB-7FA7-41B0-A38B-856E89BAF074}"/>
  <tableColumns count="1">
    <tableColumn id="1" xr3:uid="{C1599C9F-C502-4C32-96A1-A9E383BF88A4}" name="Bolívar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4B349A5-AD59-43EB-8BCE-FDF3338C22A2}" name="Tabla18" displayName="Tabla18" ref="V3:V30" totalsRowShown="0" headerRowDxfId="47" tableBorderDxfId="46">
  <autoFilter ref="V3:V30" xr:uid="{B4B349A5-AD59-43EB-8BCE-FDF3338C22A2}"/>
  <tableColumns count="1">
    <tableColumn id="1" xr3:uid="{A4E62768-63BD-4DDC-B5B7-3651952DBF6E}" name="Boyacá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17A20A7-A005-4035-B307-00409887C232}" name="Tabla19" displayName="Tabla19" ref="X3:X76" totalsRowShown="0" headerRowDxfId="45" tableBorderDxfId="44">
  <autoFilter ref="X3:X76" xr:uid="{A17A20A7-A005-4035-B307-00409887C232}"/>
  <tableColumns count="1">
    <tableColumn id="1" xr3:uid="{FE7C1C1C-0B35-4CD1-9EF0-DB44A58818A5}" name="Cundinamarca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2889B3EA-13E2-43A4-8B2A-2CF889A7DE5F}" name="Tabla20" displayName="Tabla20" ref="K10:K18" totalsRowShown="0" headerRowDxfId="43" dataDxfId="42">
  <autoFilter ref="K10:K18" xr:uid="{2889B3EA-13E2-43A4-8B2A-2CF889A7DE5F}"/>
  <tableColumns count="1">
    <tableColumn id="1" xr3:uid="{71A77397-0B4D-4678-B3FB-908B2B0D3011}" name="Departamentos" dataDxfId="41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A680965-0A68-4900-9B51-BBB82311328C}" name="Tabla21" displayName="Tabla21" ref="Z3:Z18" totalsRowShown="0">
  <autoFilter ref="Z3:Z18" xr:uid="{8A680965-0A68-4900-9B51-BBB82311328C}"/>
  <tableColumns count="1">
    <tableColumn id="1" xr3:uid="{2E2F1F6A-3BAE-484C-8AB6-63E52E0DD1C4}" name="Tipo Inmueble"/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18CD8E4-C4CE-430B-A11E-C6CB20F665F3}" name="Tabla1" displayName="Tabla1" ref="AB3:AB8" totalsRowShown="0">
  <autoFilter ref="AB3:AB8" xr:uid="{418CD8E4-C4CE-430B-A11E-C6CB20F665F3}"/>
  <tableColumns count="1">
    <tableColumn id="1" xr3:uid="{4E5ACC22-EA96-47BF-B8BA-551863D9EA6B}" name="Ocupante"/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3F25BA0-C3AF-4254-AD1B-85CC283097E7}" name="Tabla4" displayName="Tabla4" ref="AD3:AD13" totalsRowShown="0">
  <autoFilter ref="AD3:AD13" xr:uid="{C3F25BA0-C3AF-4254-AD1B-85CC283097E7}"/>
  <tableColumns count="1">
    <tableColumn id="1" xr3:uid="{0EC57BB9-745B-48EE-BDAC-D0A996924966}" name="Uso Actual"/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388A881-BE0C-4797-89E6-92CB0626241D}" name="Tabla6" displayName="Tabla6" ref="AF3:AF10" totalsRowShown="0">
  <autoFilter ref="AF3:AF10" xr:uid="{7388A881-BE0C-4797-89E6-92CB0626241D}"/>
  <tableColumns count="1">
    <tableColumn id="1" xr3:uid="{BFACA0B5-C74C-4ED8-943A-8047A1223DDE}" name="Clase inmueble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F7EEE1E-97BF-4ADA-AFA0-700D9AA78418}" name="Tabla10" displayName="Tabla10" ref="AI3:AI17" totalsRowShown="0">
  <autoFilter ref="AI3:AI17" xr:uid="{3F7EEE1E-97BF-4ADA-AFA0-700D9AA78418}"/>
  <tableColumns count="1">
    <tableColumn id="1" xr3:uid="{A68C7F93-8342-45C2-8721-C01963C81F3B}" name="Método evaluación"/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430332AB-69D6-4EFE-AE3A-37A71C561F74}" name="Tabla22" displayName="Tabla22" ref="AL3:AL10" totalsRowShown="0">
  <autoFilter ref="AL3:AL10" xr:uid="{430332AB-69D6-4EFE-AE3A-37A71C561F74}"/>
  <tableColumns count="1">
    <tableColumn id="1" xr3:uid="{E832051A-8993-4EDD-A811-45B2345B3795}" name="Uso predominante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363E19-35BE-4DAC-912D-02F5C0B41019}" name="Tabla23" displayName="Tabla23" ref="AN3:AN7" totalsRowShown="0">
  <autoFilter ref="AN3:AN7" xr:uid="{00363E19-35BE-4DAC-912D-02F5C0B41019}"/>
  <tableColumns count="1">
    <tableColumn id="1" xr3:uid="{9F556955-2814-48BD-B290-E5C337247D7B}" name="Área de actividad"/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EDC191C3-F9E5-42D6-82AA-EC83838D971A}" name="Tabla25" displayName="Tabla25" ref="AP3:AP7" totalsRowShown="0">
  <autoFilter ref="AP3:AP7" xr:uid="{EDC191C3-F9E5-42D6-82AA-EC83838D971A}"/>
  <tableColumns count="1">
    <tableColumn id="1" xr3:uid="{766242F0-4B17-49FF-B6C4-2FBA68645B46}" name="Demanda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D7B61F8C-4394-4760-A855-1ABADF0DD47A}" name="Tabla26" displayName="Tabla26" ref="AR3:AR14" totalsRowShown="0" dataDxfId="40">
  <autoFilter ref="AR3:AR14" xr:uid="{D7B61F8C-4394-4760-A855-1ABADF0DD47A}"/>
  <tableColumns count="1">
    <tableColumn id="1" xr3:uid="{739928A6-6473-441C-9F43-D9D2F529CDDE}" name="Estrato" dataDxfId="39"/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D18466E-CEBC-4EFE-BA04-5CB515A7FF36}" name="Tabla27" displayName="Tabla27" ref="AT3:AT7" totalsRowShown="0">
  <autoFilter ref="AT3:AT7" xr:uid="{8D18466E-CEBC-4EFE-BA04-5CB515A7FF36}"/>
  <tableColumns count="1">
    <tableColumn id="1" xr3:uid="{18F998DA-1800-4602-91BC-CF1EBAD5B1A2}" name="Topografía"/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BED3FA58-51D5-41B9-9177-1DB8E3F5C5AF}" name="Tabla28" displayName="Tabla28" ref="AV3:AV7" totalsRowShown="0">
  <autoFilter ref="AV3:AV7" xr:uid="{BED3FA58-51D5-41B9-9177-1DB8E3F5C5AF}"/>
  <tableColumns count="1">
    <tableColumn id="1" xr3:uid="{6C72C890-55EF-4164-8CC9-E49C8BE991D8}" name="Transporte"/>
  </tableColumns>
  <tableStyleInfo name="TableStyleLight9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824616E2-AC97-47AD-8C69-B5921C7596E5}" name="Tabla29" displayName="Tabla29" ref="AX3:AX9" totalsRowShown="0">
  <autoFilter ref="AX3:AX9" xr:uid="{824616E2-AC97-47AD-8C69-B5921C7596E5}"/>
  <tableColumns count="1">
    <tableColumn id="1" xr3:uid="{A9AB1698-DA16-4495-8189-5C5BE43F26B8}" name="Nivel"/>
  </tableColumns>
  <tableStyleInfo name="TableStyleLight9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EE1218B1-FCF9-4FDD-9A4E-42577BDC7090}" name="Tabla30" displayName="Tabla30" ref="AZ3:AZ9" totalsRowShown="0">
  <autoFilter ref="AZ3:AZ9" xr:uid="{EE1218B1-FCF9-4FDD-9A4E-42577BDC7090}"/>
  <tableColumns count="1">
    <tableColumn id="1" xr3:uid="{8865600F-B01F-4D72-9150-E13B9A87EC88}" name="Distancia"/>
  </tableColumns>
  <tableStyleInfo name="TableStyleLight9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22DCC09-48EC-4972-87B8-C9A0E2318C99}" name="Tabla1132" displayName="Tabla1132" ref="BB3:BB7" totalsRowShown="0">
  <autoFilter ref="BB3:BB7" xr:uid="{022DCC09-48EC-4972-87B8-C9A0E2318C99}"/>
  <tableColumns count="1">
    <tableColumn id="1" xr3:uid="{5BB66AE6-8036-4144-BD4A-6842EC676090}" name="Condiciones2"/>
  </tableColumns>
  <tableStyleInfo name="TableStyleLight9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D2B2BB5A-A4DA-40A3-BAFF-7C434A0AC752}" name="Tabla32" displayName="Tabla32" ref="BD3:BD7" totalsRowShown="0">
  <autoFilter ref="BD3:BD7" xr:uid="{D2B2BB5A-A4DA-40A3-BAFF-7C434A0AC752}"/>
  <tableColumns count="1">
    <tableColumn id="1" xr3:uid="{A50FF180-E886-4631-8DEE-E5F3B8E738F6}" name="Horario de vigilancia"/>
  </tableColumns>
  <tableStyleInfo name="TableStyleLight9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C7E651C-CF4C-4FD6-8B0E-3008A0F62BA0}" name="Tabla24" displayName="Tabla24" ref="BF3:BF15" totalsRowShown="0">
  <autoFilter ref="BF3:BF15" xr:uid="{0C7E651C-CF4C-4FD6-8B0E-3008A0F62BA0}"/>
  <tableColumns count="1">
    <tableColumn id="1" xr3:uid="{7CB9CFA3-4A4E-4AC5-A613-F9B63A1AE527}" name="Numeros"/>
  </tableColumns>
  <tableStyleInfo name="TableStyleLight9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A5D054EB-8293-4597-8D4F-595DDF29F6B8}" name="Tabla33" displayName="Tabla33" ref="BH3:BH8" totalsRowShown="0">
  <autoFilter ref="BH3:BH8" xr:uid="{A5D054EB-8293-4597-8D4F-595DDF29F6B8}"/>
  <tableColumns count="1">
    <tableColumn id="1" xr3:uid="{82486532-E6EC-4B33-A716-590E6774BED0}" name="Cocina"/>
  </tableColumns>
  <tableStyleInfo name="TableStyleLight9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3603FE23-E24F-429B-BF92-6966C7AE9F69}" name="Tabla2835" displayName="Tabla2835" ref="BJ3:BJ8" totalsRowShown="0">
  <autoFilter ref="BJ3:BJ8" xr:uid="{3603FE23-E24F-429B-BF92-6966C7AE9F69}"/>
  <tableColumns count="1">
    <tableColumn id="1" xr3:uid="{76DE3287-EE8A-4AA5-A140-493D2AFF3CD4}" name="Estado"/>
  </tableColumns>
  <tableStyleInfo name="TableStyleLight9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8C053FDE-B9A6-412F-A446-D886017CCA33}" name="Tabla283536" displayName="Tabla283536" ref="BL3:BL8" totalsRowShown="0">
  <autoFilter ref="BL3:BL8" xr:uid="{8C053FDE-B9A6-412F-A446-D886017CCA33}"/>
  <tableColumns count="1">
    <tableColumn id="1" xr3:uid="{3F6CD707-E701-4498-8231-7FA5BA78B087}" name="Estructura"/>
  </tableColumns>
  <tableStyleInfo name="TableStyleLight9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292E217C-F7CB-4963-BCF3-1BAD1155A139}" name="Tabla1238" displayName="Tabla1238" ref="BN3:BN15" totalsRowShown="0">
  <autoFilter ref="BN3:BN15" xr:uid="{292E217C-F7CB-4963-BCF3-1BAD1155A139}"/>
  <tableColumns count="1">
    <tableColumn id="1" xr3:uid="{3454D52C-1B58-43CB-BAD0-B0390E8D0F3C}" name="Material"/>
  </tableColumns>
  <tableStyleInfo name="TableStyleLight9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E685A4C6-C136-42E7-8EC8-001033188C68}" name="Tabla123837" displayName="Tabla123837" ref="BP3:BP14" totalsRowShown="0">
  <autoFilter ref="BP3:BP14" xr:uid="{E685A4C6-C136-42E7-8EC8-001033188C68}"/>
  <tableColumns count="1">
    <tableColumn id="1" xr3:uid="{63CFB8AE-2F39-4879-99D2-355E816963F4}" name="Tipo Estructura"/>
  </tableColumns>
  <tableStyleInfo name="TableStyleLight9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C1AF0696-944C-4CB1-BA37-25D616B87E4C}" name="Tabla28353639" displayName="Tabla28353639" ref="BR3:BR11" totalsRowShown="0">
  <autoFilter ref="BR3:BR11" xr:uid="{C1AF0696-944C-4CB1-BA37-25D616B87E4C}"/>
  <tableColumns count="1">
    <tableColumn id="1" xr3:uid="{C94D325C-A7E7-4EED-939F-77199B619E59}" name="Cubierta"/>
  </tableColumns>
  <tableStyleInfo name="TableStyleLight9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1BCA632E-DEFB-4D20-8D0E-CC1212855BFF}" name="Tabla28353640" displayName="Tabla28353640" ref="BT3:BT8" totalsRowShown="0">
  <autoFilter ref="BT3:BT8" xr:uid="{1BCA632E-DEFB-4D20-8D0E-CC1212855BFF}"/>
  <tableColumns count="1">
    <tableColumn id="1" xr3:uid="{2C146E7C-8D9C-4F2F-9A53-6EE80E6ECEFA}" name="Fachada"/>
  </tableColumns>
  <tableStyleInfo name="TableStyleLight9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C02DBC2D-72F1-45AC-97EC-6FA89BE00371}" name="Tabla2835364041" displayName="Tabla2835364041" ref="BV3:BV8" totalsRowShown="0">
  <autoFilter ref="BV3:BV8" xr:uid="{C02DBC2D-72F1-45AC-97EC-6FA89BE00371}"/>
  <tableColumns count="1">
    <tableColumn id="1" xr3:uid="{B9E02E8A-1F73-494E-8EAA-B7C818627097}" name="Ancho Fachada"/>
  </tableColumns>
  <tableStyleInfo name="TableStyleLight9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E77AB9D3-654B-4E96-9AF0-5DA6676E70DB}" name="Tabla2835364042" displayName="Tabla2835364042" ref="BX3:BX8" totalsRowShown="0">
  <autoFilter ref="BX3:BX8" xr:uid="{E77AB9D3-654B-4E96-9AF0-5DA6676E70DB}"/>
  <tableColumns count="1">
    <tableColumn id="1" xr3:uid="{18C80A1F-4140-4E28-A6BA-9EBFF7C68F3F}" name="Tipología de vivienda"/>
  </tableColumns>
  <tableStyleInfo name="TableStyleLight9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C657E6B1-628C-4D0D-B4F9-C51F3A54A666}" name="Tabla283543" displayName="Tabla283543" ref="BZ3:BZ7" totalsRowShown="0">
  <autoFilter ref="BZ3:BZ7" xr:uid="{C657E6B1-628C-4D0D-B4F9-C51F3A54A666}"/>
  <tableColumns count="1">
    <tableColumn id="1" xr3:uid="{1683476B-1006-4CF2-8331-66123C90789F}" name="Estado Construcción"/>
  </tableColumns>
  <tableStyleInfo name="TableStyleLight9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5F2D5F59-FA5F-472B-B483-D2F0E669F0B0}" name="Tabla1244" displayName="Tabla1244" ref="K20:K24" totalsRowShown="0">
  <autoFilter ref="K20:K24" xr:uid="{5F2D5F59-FA5F-472B-B483-D2F0E669F0B0}"/>
  <tableColumns count="1">
    <tableColumn id="1" xr3:uid="{9739EC59-55C5-4EAC-9BA1-C8E098263AB0}" name="Condicional 2"/>
  </tableColumns>
  <tableStyleInfo name="TableStyleLight9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6B4541F-B057-4D25-A2B1-746D9B46CCB1}" name="Tabla28354345" displayName="Tabla28354345" ref="CB3:CB8" totalsRowShown="0">
  <autoFilter ref="CB3:CB8" xr:uid="{06B4541F-B057-4D25-A2B1-746D9B46CCB1}"/>
  <tableColumns count="1">
    <tableColumn id="1" xr3:uid="{BAEBA4F1-C308-4284-B1BE-5A25B9BF2CD8}" name="Acabados"/>
  </tableColumns>
  <tableStyleInfo name="TableStyleLight9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A94B207D-0DB8-4343-A218-DC9ED5570D6D}" name="Tabla2835434546" displayName="Tabla2835434546" ref="CD3:CD9" totalsRowShown="0">
  <autoFilter ref="CD3:CD9" xr:uid="{A94B207D-0DB8-4343-A218-DC9ED5570D6D}"/>
  <tableColumns count="1">
    <tableColumn id="1" xr3:uid="{F4671CD1-1129-4C29-9EDE-C1CCAA31EF35}" name="Estados 2"/>
  </tableColumns>
  <tableStyleInfo name="TableStyleLight9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A55E129B-998D-49D7-9DF5-80174FECD40A}" name="Tabla49" displayName="Tabla49" ref="CF3:CF8" totalsRowShown="0">
  <autoFilter ref="CF3:CF8" xr:uid="{A55E129B-998D-49D7-9DF5-80174FECD40A}"/>
  <tableColumns count="1">
    <tableColumn id="1" xr3:uid="{90521EE8-7204-4E54-8124-7A354BC06681}" name="Tipo"/>
  </tableColumns>
  <tableStyleInfo name="TableStyleLight9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31D16E8E-8E3F-465F-B846-8CAB6ACAFB0B}" name="Tabla50" displayName="Tabla50" ref="CH3:CH6" totalsRowShown="0">
  <autoFilter ref="CH3:CH6" xr:uid="{31D16E8E-8E3F-465F-B846-8CAB6ACAFB0B}"/>
  <tableColumns count="1">
    <tableColumn id="1" xr3:uid="{5207706F-E5B1-483E-9A0A-70D75EB2570C}" name="Capacidad"/>
  </tableColumns>
  <tableStyleInfo name="TableStyleLight9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6A8C3ACF-AA83-4E59-B67F-6D116B6462D3}" name="Tabla51" displayName="Tabla51" ref="CJ3:CJ6" totalsRowShown="0">
  <autoFilter ref="CJ3:CJ6" xr:uid="{6A8C3ACF-AA83-4E59-B67F-6D116B6462D3}"/>
  <tableColumns count="1">
    <tableColumn id="1" xr3:uid="{3D8AFBB1-9C6F-403E-8128-BBD1C1B3D668}" name="Forma"/>
  </tableColumns>
  <tableStyleInfo name="TableStyleLight9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DA86747D-5F60-4AA7-B80A-115E22B8A582}" name="Tabla52" displayName="Tabla52" ref="CL3:CL6" totalsRowShown="0">
  <autoFilter ref="CL3:CL6" xr:uid="{DA86747D-5F60-4AA7-B80A-115E22B8A582}"/>
  <tableColumns count="1">
    <tableColumn id="1" xr3:uid="{F0076A0E-C172-4136-A12A-E319D86B9663}" name="Unidad"/>
  </tableColumns>
  <tableStyleInfo name="TableStyleLight9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9F9BD0BF-9537-424F-89E6-7F7541F1F617}" name="Tabla53" displayName="Tabla53" ref="CN3:CN7" totalsRowShown="0">
  <autoFilter ref="CN3:CN7" xr:uid="{9F9BD0BF-9537-424F-89E6-7F7541F1F617}"/>
  <tableColumns count="1">
    <tableColumn id="1" xr3:uid="{01D92C76-0F3C-4329-927D-E9DF58221AEE}" name="Tipo 3"/>
  </tableColumns>
  <tableStyleInfo name="TableStyleLight9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4719CBA1-AF90-47A3-979A-9213061B94B4}" name="Tabla56" displayName="Tabla56" ref="CP3:CP6" totalsRowShown="0">
  <autoFilter ref="CP3:CP6" xr:uid="{4719CBA1-AF90-47A3-979A-9213061B94B4}"/>
  <tableColumns count="1">
    <tableColumn id="1" xr3:uid="{06BCE96E-C092-4FA3-8FBB-72FAE7CA3517}" name=" Tipo de Área"/>
  </tableColumns>
  <tableStyleInfo name="TableStyleLight9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7824885C-A865-4E75-B188-F304AD08DF27}" name="Unidad3" displayName="Unidad3" ref="CP10:CP15" totalsRowShown="0">
  <autoFilter ref="CP10:CP15" xr:uid="{7824885C-A865-4E75-B188-F304AD08DF27}"/>
  <tableColumns count="1">
    <tableColumn id="1" xr3:uid="{90B97D1E-F8E7-4D25-8535-F6EA1316A216}" name="Unidad"/>
  </tableColumns>
  <tableStyleInfo name="TableStyleLight9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8E68E0B5-F822-4A1B-BB3D-C5EA49E71E33}" name="Tabla48" displayName="Tabla48" ref="F16:K17" insertRow="1" totalsRowShown="0" headerRowDxfId="38" dataDxfId="37">
  <autoFilter ref="F16:K17" xr:uid="{8E68E0B5-F822-4A1B-BB3D-C5EA49E71E33}"/>
  <tableColumns count="6">
    <tableColumn id="1" xr3:uid="{2BF01B5A-78E4-4822-8577-21255D2D5639}" name="Nro Matricula" dataDxfId="36"/>
    <tableColumn id="2" xr3:uid="{11DCF7A3-7946-470F-8182-8415F2CE6C8E}" name="Código Catastral" dataDxfId="35"/>
    <tableColumn id="3" xr3:uid="{AD389FC2-573B-471E-808A-529150FFE45B}" name="Fecha" dataDxfId="34"/>
    <tableColumn id="4" xr3:uid="{735CB0AC-CA1C-4671-97F3-EF11F3BB3766}" name="Chip" dataDxfId="33"/>
    <tableColumn id="5" xr3:uid="{8708A370-9AD3-4529-AC72-91DEEAE70AB5}" name="Coeficiente" dataDxfId="32"/>
    <tableColumn id="6" xr3:uid="{A0F03D31-DAD4-4475-AA79-7CAF7B3335E3}" name="Detalle" dataDxfId="31"/>
  </tableColumns>
  <tableStyleInfo name="TableStyleLight1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1619F8A1-6044-4928-800B-5E77DA0ABF60}" name="Tabla47" displayName="Tabla47" ref="G22:J23" totalsRowShown="0" headerRowDxfId="30" dataDxfId="29" tableBorderDxfId="28">
  <autoFilter ref="G22:J23" xr:uid="{1619F8A1-6044-4928-800B-5E77DA0ABF60}"/>
  <tableColumns count="4">
    <tableColumn id="1" xr3:uid="{A9C16459-4BB6-46F9-A73A-C2C358B37175}" name="Nro Escritura" dataDxfId="27"/>
    <tableColumn id="2" xr3:uid="{F1BFB069-85E2-4FEE-A27D-120D8EF234A0}" name="Fecha" dataDxfId="26"/>
    <tableColumn id="3" xr3:uid="{94164948-3D14-450D-8721-DEA8623D72E4}" name="Notaria" dataDxfId="25"/>
    <tableColumn id="4" xr3:uid="{8146E9B2-0E73-482A-AA9A-7EA3B482F02D}" name="Ciudad" dataDxfId="24"/>
  </tableColumns>
  <tableStyleInfo name="TableStyleLight11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BF7E594D-08AB-4216-81E1-2B9489A26EC2}" name="Tabla46" displayName="Tabla46" ref="F15:M17" totalsRowShown="0" headerRowDxfId="23">
  <autoFilter ref="F15:M17" xr:uid="{BF7E594D-08AB-4216-81E1-2B9489A26EC2}"/>
  <tableColumns count="8">
    <tableColumn id="1" xr3:uid="{4890E780-AA46-44CD-9035-EE47F75379D9}" name="Número " dataDxfId="22"/>
    <tableColumn id="2" xr3:uid="{EB13184C-5E88-40D4-B1FC-8BB177A236C4}" name="Matrícula" dataDxfId="21"/>
    <tableColumn id="3" xr3:uid="{7B343A4C-06F7-436C-B8DE-2F9783200C47}" name="Area" dataDxfId="20"/>
    <tableColumn id="4" xr3:uid="{AC557B7F-4E1C-48AC-97DB-A98BCBB9F648}" name="Unidad" dataDxfId="19"/>
    <tableColumn id="5" xr3:uid="{C6C02F79-31B4-4168-B10C-B76C21B6BEA1}" name="Capacidad" dataDxfId="18"/>
    <tableColumn id="6" xr3:uid="{85C10B47-FFCB-49C4-A2DD-B645DAFF0298}" name="Forma" dataDxfId="17"/>
    <tableColumn id="7" xr3:uid="{6967CCF8-ADFE-4732-9EC5-0E846775C535}" name="Tipo" dataDxfId="16"/>
    <tableColumn id="8" xr3:uid="{DF2D3C9C-62CE-4CE5-927D-5A01C522E040}" name="Cubierto" dataDxfId="15"/>
  </tableColumns>
  <tableStyleInfo name="TableStyleLight1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F582ED-65F6-43F3-9FF5-447F6C12988D}" name="Tabla5456" displayName="Tabla5456" ref="H21:K22" totalsRowShown="0" headerRowDxfId="14" tableBorderDxfId="13">
  <autoFilter ref="H21:K22" xr:uid="{00F582ED-65F6-43F3-9FF5-447F6C12988D}"/>
  <tableColumns count="4">
    <tableColumn id="1" xr3:uid="{5879967A-CF4D-4B3D-A3DC-9891AA7D5057}" name="Tipo" dataDxfId="12"/>
    <tableColumn id="2" xr3:uid="{1A24F383-A4D5-42BA-82C4-C5D150EF062D}" name="Número" dataDxfId="11"/>
    <tableColumn id="3" xr3:uid="{8520C5F9-C352-4A77-8F1F-AA64EE0B5531}" name="Matricula " dataDxfId="10"/>
    <tableColumn id="4" xr3:uid="{784576B2-CA81-4D25-A3C4-4C5D0CA37D96}" name="Area" dataDxfId="9"/>
  </tableColumns>
  <tableStyleInfo name="TableStyleLight1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A8E0B1CD-B993-46EE-B449-568AA6D5AA1D}" name="Tabla54" displayName="Tabla54" ref="G16:L18" totalsRowShown="0" headerRowDxfId="8" dataDxfId="7" tableBorderDxfId="6">
  <autoFilter ref="G16:L18" xr:uid="{A8E0B1CD-B993-46EE-B449-568AA6D5AA1D}"/>
  <tableColumns count="6">
    <tableColumn id="1" xr3:uid="{6EC28176-315E-4875-9C44-04AB6D025702}" name="Tipo de Área " dataDxfId="5"/>
    <tableColumn id="2" xr3:uid="{B1F6A171-EF33-4C78-9B9E-A4A57B175E98}" name="Área" dataDxfId="4"/>
    <tableColumn id="3" xr3:uid="{5F0C9CE1-C0FE-4DE4-AB1B-B322606392E3}" name="Descripción" dataDxfId="3"/>
    <tableColumn id="4" xr3:uid="{4193204D-7ABF-498E-A30A-CEEA94D07EE1}" name="Unidad" dataDxfId="2"/>
    <tableColumn id="5" xr3:uid="{56205D01-F265-482A-9EA9-B51B0C009B25}" name="Valor Unitario" dataDxfId="0"/>
    <tableColumn id="6" xr3:uid="{66C6DBE2-13D8-4391-9BD2-5E01E1CFED91}" name="Valor Total" dataDxfId="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26" Type="http://schemas.openxmlformats.org/officeDocument/2006/relationships/table" Target="../tables/table25.xml"/><Relationship Id="rId39" Type="http://schemas.openxmlformats.org/officeDocument/2006/relationships/table" Target="../tables/table38.xml"/><Relationship Id="rId21" Type="http://schemas.openxmlformats.org/officeDocument/2006/relationships/table" Target="../tables/table20.xml"/><Relationship Id="rId34" Type="http://schemas.openxmlformats.org/officeDocument/2006/relationships/table" Target="../tables/table33.xml"/><Relationship Id="rId42" Type="http://schemas.openxmlformats.org/officeDocument/2006/relationships/table" Target="../tables/table41.xml"/><Relationship Id="rId47" Type="http://schemas.openxmlformats.org/officeDocument/2006/relationships/table" Target="../tables/table46.xml"/><Relationship Id="rId50" Type="http://schemas.openxmlformats.org/officeDocument/2006/relationships/table" Target="../tables/table49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9" Type="http://schemas.openxmlformats.org/officeDocument/2006/relationships/table" Target="../tables/table28.xml"/><Relationship Id="rId11" Type="http://schemas.openxmlformats.org/officeDocument/2006/relationships/table" Target="../tables/table10.xml"/><Relationship Id="rId24" Type="http://schemas.openxmlformats.org/officeDocument/2006/relationships/table" Target="../tables/table23.xml"/><Relationship Id="rId32" Type="http://schemas.openxmlformats.org/officeDocument/2006/relationships/table" Target="../tables/table31.xml"/><Relationship Id="rId37" Type="http://schemas.openxmlformats.org/officeDocument/2006/relationships/table" Target="../tables/table36.xml"/><Relationship Id="rId40" Type="http://schemas.openxmlformats.org/officeDocument/2006/relationships/table" Target="../tables/table39.xml"/><Relationship Id="rId45" Type="http://schemas.openxmlformats.org/officeDocument/2006/relationships/table" Target="../tables/table44.xml"/><Relationship Id="rId53" Type="http://schemas.openxmlformats.org/officeDocument/2006/relationships/table" Target="../tables/table52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31" Type="http://schemas.openxmlformats.org/officeDocument/2006/relationships/table" Target="../tables/table30.xml"/><Relationship Id="rId44" Type="http://schemas.openxmlformats.org/officeDocument/2006/relationships/table" Target="../tables/table43.xml"/><Relationship Id="rId52" Type="http://schemas.openxmlformats.org/officeDocument/2006/relationships/table" Target="../tables/table51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Relationship Id="rId22" Type="http://schemas.openxmlformats.org/officeDocument/2006/relationships/table" Target="../tables/table21.xml"/><Relationship Id="rId27" Type="http://schemas.openxmlformats.org/officeDocument/2006/relationships/table" Target="../tables/table26.xml"/><Relationship Id="rId30" Type="http://schemas.openxmlformats.org/officeDocument/2006/relationships/table" Target="../tables/table29.xml"/><Relationship Id="rId35" Type="http://schemas.openxmlformats.org/officeDocument/2006/relationships/table" Target="../tables/table34.xml"/><Relationship Id="rId43" Type="http://schemas.openxmlformats.org/officeDocument/2006/relationships/table" Target="../tables/table42.xml"/><Relationship Id="rId48" Type="http://schemas.openxmlformats.org/officeDocument/2006/relationships/table" Target="../tables/table47.xml"/><Relationship Id="rId8" Type="http://schemas.openxmlformats.org/officeDocument/2006/relationships/table" Target="../tables/table7.xml"/><Relationship Id="rId51" Type="http://schemas.openxmlformats.org/officeDocument/2006/relationships/table" Target="../tables/table50.xml"/><Relationship Id="rId3" Type="http://schemas.openxmlformats.org/officeDocument/2006/relationships/table" Target="../tables/table2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5" Type="http://schemas.openxmlformats.org/officeDocument/2006/relationships/table" Target="../tables/table24.xml"/><Relationship Id="rId33" Type="http://schemas.openxmlformats.org/officeDocument/2006/relationships/table" Target="../tables/table32.xml"/><Relationship Id="rId38" Type="http://schemas.openxmlformats.org/officeDocument/2006/relationships/table" Target="../tables/table37.xml"/><Relationship Id="rId46" Type="http://schemas.openxmlformats.org/officeDocument/2006/relationships/table" Target="../tables/table45.xml"/><Relationship Id="rId20" Type="http://schemas.openxmlformats.org/officeDocument/2006/relationships/table" Target="../tables/table19.xml"/><Relationship Id="rId41" Type="http://schemas.openxmlformats.org/officeDocument/2006/relationships/table" Target="../tables/table40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5" Type="http://schemas.openxmlformats.org/officeDocument/2006/relationships/table" Target="../tables/table14.xml"/><Relationship Id="rId23" Type="http://schemas.openxmlformats.org/officeDocument/2006/relationships/table" Target="../tables/table22.xml"/><Relationship Id="rId28" Type="http://schemas.openxmlformats.org/officeDocument/2006/relationships/table" Target="../tables/table27.xml"/><Relationship Id="rId36" Type="http://schemas.openxmlformats.org/officeDocument/2006/relationships/table" Target="../tables/table35.xml"/><Relationship Id="rId49" Type="http://schemas.openxmlformats.org/officeDocument/2006/relationships/table" Target="../tables/table48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samiro@g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5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5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etrocuadrado.com/inmueble/venta-apartamento-bogota-lago-timiza-ii-3-habitaciones-1-banos/MC26098372" TargetMode="External"/><Relationship Id="rId2" Type="http://schemas.openxmlformats.org/officeDocument/2006/relationships/hyperlink" Target="https://www.metrocuadrado.com/inmueble/venta-apartamento-bogota-timiza-a-3-habitaciones-1-banos/164-M3045033" TargetMode="External"/><Relationship Id="rId1" Type="http://schemas.openxmlformats.org/officeDocument/2006/relationships/hyperlink" Target="https://www.metrocuadrado.com/inmueble/venta-apartamento-bogota-ciudad-salitre-occidental-3-habitaciones-2-banos-1-garajes/10930-109135" TargetMode="Externa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www.properati.com.co/detalle/25zkt_venta_apartamento_timiza_ciclorutas-de-bogota_parqueadero_primer-piso_sala-comedor_bypinmobiliarioscom?gallery=false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etrocuadrado.com/inmueble/venta-casa-bogota-bavaria-4-habitaciones-2-banos-3-garajes/11139-1144157" TargetMode="External"/><Relationship Id="rId2" Type="http://schemas.openxmlformats.org/officeDocument/2006/relationships/hyperlink" Target="https://www.metrocuadrado.com/inmueble/venta-casa-bogota-bavaria-techo-iii-5-habitaciones-4-banos-2-garajes/164-M3045016" TargetMode="External"/><Relationship Id="rId1" Type="http://schemas.openxmlformats.org/officeDocument/2006/relationships/hyperlink" Target="https://www.metrocuadrado.com/inmueble/venta-casa-bogota-urbanizacion-castilla-5-habitaciones-5-banos-2-garajes/10159-M3018982" TargetMode="External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www.metrocuadrado.com/inmueble/venta-casa-bogota-castilla-5-habitaciones-4-banos-3-garajes/488-M2945697" TargetMode="External"/><Relationship Id="rId4" Type="http://schemas.openxmlformats.org/officeDocument/2006/relationships/hyperlink" Target="https://www.metrocuadrado.com/inmueble/venta-casa-bogota-el-portal-de-las-americas-4-habitaciones-2-banos-1-garajes/VENT-05053101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28518-0874-42E6-B56B-5D2BD1238095}">
  <sheetPr codeName="Hoja1">
    <tabColor theme="0"/>
  </sheetPr>
  <dimension ref="B3:CP76"/>
  <sheetViews>
    <sheetView showGridLines="0" topLeftCell="CB1" workbookViewId="0">
      <selection activeCell="CP11" sqref="CP11:CP15"/>
    </sheetView>
  </sheetViews>
  <sheetFormatPr baseColWidth="10" defaultRowHeight="14.4" x14ac:dyDescent="0.3"/>
  <cols>
    <col min="2" max="2" width="17" bestFit="1" customWidth="1"/>
    <col min="4" max="4" width="45" bestFit="1" customWidth="1"/>
    <col min="5" max="5" width="14.77734375" customWidth="1"/>
    <col min="6" max="6" width="52.21875" customWidth="1"/>
    <col min="8" max="8" width="19.21875" customWidth="1"/>
    <col min="11" max="11" width="16" customWidth="1"/>
    <col min="13" max="13" width="11.6640625" hidden="1" customWidth="1"/>
    <col min="14" max="15" width="21.88671875" hidden="1" customWidth="1"/>
    <col min="16" max="16" width="13.21875" hidden="1" customWidth="1"/>
    <col min="17" max="17" width="7.88671875" hidden="1" customWidth="1"/>
    <col min="18" max="18" width="15.109375" hidden="1" customWidth="1"/>
    <col min="19" max="19" width="5.44140625" hidden="1" customWidth="1"/>
    <col min="20" max="20" width="19.44140625" hidden="1" customWidth="1"/>
    <col min="21" max="21" width="6.88671875" hidden="1" customWidth="1"/>
    <col min="22" max="22" width="19" hidden="1" customWidth="1"/>
    <col min="23" max="23" width="11.21875" hidden="1" customWidth="1"/>
    <col min="24" max="24" width="19" hidden="1" customWidth="1"/>
    <col min="26" max="26" width="18" customWidth="1"/>
    <col min="28" max="28" width="17.21875" bestFit="1" customWidth="1"/>
    <col min="30" max="30" width="15.21875" bestFit="1" customWidth="1"/>
    <col min="32" max="32" width="15.21875" customWidth="1"/>
    <col min="35" max="35" width="39.21875" bestFit="1" customWidth="1"/>
    <col min="38" max="38" width="18" customWidth="1"/>
    <col min="40" max="40" width="16.88671875" customWidth="1"/>
    <col min="46" max="46" width="11.77734375" customWidth="1"/>
    <col min="48" max="48" width="11.77734375" customWidth="1"/>
    <col min="54" max="54" width="19.77734375" bestFit="1" customWidth="1"/>
    <col min="56" max="56" width="19.44140625" customWidth="1"/>
    <col min="64" max="64" width="12.88671875" bestFit="1" customWidth="1"/>
    <col min="66" max="66" width="16.88671875" bestFit="1" customWidth="1"/>
    <col min="68" max="68" width="27.77734375" bestFit="1" customWidth="1"/>
    <col min="70" max="70" width="18.21875" bestFit="1" customWidth="1"/>
    <col min="72" max="72" width="18.109375" bestFit="1" customWidth="1"/>
    <col min="74" max="74" width="18.109375" bestFit="1" customWidth="1"/>
    <col min="76" max="76" width="35" bestFit="1" customWidth="1"/>
    <col min="78" max="78" width="20.44140625" bestFit="1" customWidth="1"/>
    <col min="80" max="80" width="11.44140625" bestFit="1" customWidth="1"/>
    <col min="82" max="82" width="11.44140625" bestFit="1" customWidth="1"/>
    <col min="84" max="84" width="18.109375" bestFit="1" customWidth="1"/>
    <col min="86" max="86" width="12" bestFit="1" customWidth="1"/>
    <col min="92" max="92" width="18.109375" bestFit="1" customWidth="1"/>
    <col min="94" max="94" width="15.6640625" bestFit="1" customWidth="1"/>
  </cols>
  <sheetData>
    <row r="3" spans="2:94" ht="15" x14ac:dyDescent="0.3">
      <c r="B3" t="s">
        <v>2</v>
      </c>
      <c r="D3" t="s">
        <v>4</v>
      </c>
      <c r="F3" t="s">
        <v>12</v>
      </c>
      <c r="H3" t="s">
        <v>70</v>
      </c>
      <c r="K3" t="s">
        <v>74</v>
      </c>
      <c r="M3" s="7" t="s">
        <v>30</v>
      </c>
      <c r="N3" s="7" t="s">
        <v>32</v>
      </c>
      <c r="O3" s="7"/>
      <c r="P3" s="7" t="s">
        <v>34</v>
      </c>
      <c r="Q3" s="7"/>
      <c r="R3" s="7" t="s">
        <v>35</v>
      </c>
      <c r="S3" s="7"/>
      <c r="T3" s="8" t="s">
        <v>37</v>
      </c>
      <c r="U3" s="5"/>
      <c r="V3" s="9" t="s">
        <v>39</v>
      </c>
      <c r="W3" s="7"/>
      <c r="X3" s="7" t="s">
        <v>48</v>
      </c>
      <c r="Z3" t="s">
        <v>283</v>
      </c>
      <c r="AB3" t="s">
        <v>285</v>
      </c>
      <c r="AD3" t="s">
        <v>291</v>
      </c>
      <c r="AF3" t="s">
        <v>301</v>
      </c>
      <c r="AI3" t="s">
        <v>321</v>
      </c>
      <c r="AL3" t="s">
        <v>340</v>
      </c>
      <c r="AN3" t="s">
        <v>341</v>
      </c>
      <c r="AP3" t="s">
        <v>342</v>
      </c>
      <c r="AR3" t="s">
        <v>343</v>
      </c>
      <c r="AT3" t="s">
        <v>355</v>
      </c>
      <c r="AV3" t="s">
        <v>356</v>
      </c>
      <c r="AX3" t="s">
        <v>363</v>
      </c>
      <c r="AZ3" t="s">
        <v>366</v>
      </c>
      <c r="BB3" t="s">
        <v>392</v>
      </c>
      <c r="BD3" t="s">
        <v>395</v>
      </c>
      <c r="BF3" t="s">
        <v>425</v>
      </c>
      <c r="BH3" t="s">
        <v>428</v>
      </c>
      <c r="BJ3" t="s">
        <v>450</v>
      </c>
      <c r="BL3" t="s">
        <v>454</v>
      </c>
      <c r="BN3" t="s">
        <v>460</v>
      </c>
      <c r="BP3" t="s">
        <v>465</v>
      </c>
      <c r="BR3" t="s">
        <v>468</v>
      </c>
      <c r="BT3" t="s">
        <v>470</v>
      </c>
      <c r="BV3" t="s">
        <v>471</v>
      </c>
      <c r="BX3" t="s">
        <v>476</v>
      </c>
      <c r="BZ3" t="s">
        <v>481</v>
      </c>
      <c r="CB3" t="s">
        <v>523</v>
      </c>
      <c r="CD3" t="s">
        <v>528</v>
      </c>
      <c r="CF3" t="s">
        <v>559</v>
      </c>
      <c r="CH3" t="s">
        <v>560</v>
      </c>
      <c r="CJ3" t="s">
        <v>562</v>
      </c>
      <c r="CL3" t="s">
        <v>564</v>
      </c>
      <c r="CN3" t="s">
        <v>578</v>
      </c>
      <c r="CP3" t="s">
        <v>746</v>
      </c>
    </row>
    <row r="4" spans="2:94" ht="15" x14ac:dyDescent="0.3">
      <c r="J4" s="5"/>
      <c r="L4" s="5"/>
      <c r="X4" s="5"/>
      <c r="AR4" s="15"/>
      <c r="CE4" t="s">
        <v>269</v>
      </c>
    </row>
    <row r="5" spans="2:94" ht="16.2" x14ac:dyDescent="0.35">
      <c r="B5" s="2" t="s">
        <v>3</v>
      </c>
      <c r="D5" s="2" t="s">
        <v>5</v>
      </c>
      <c r="F5" t="s">
        <v>13</v>
      </c>
      <c r="H5" t="s">
        <v>71</v>
      </c>
      <c r="J5" s="5"/>
      <c r="K5" s="5" t="s">
        <v>75</v>
      </c>
      <c r="L5" s="5"/>
      <c r="M5" t="s">
        <v>31</v>
      </c>
      <c r="N5" t="s">
        <v>77</v>
      </c>
      <c r="P5" t="s">
        <v>136</v>
      </c>
      <c r="R5" t="s">
        <v>143</v>
      </c>
      <c r="T5" t="s">
        <v>159</v>
      </c>
      <c r="V5" t="s">
        <v>172</v>
      </c>
      <c r="X5" t="s">
        <v>197</v>
      </c>
      <c r="Z5" t="s">
        <v>270</v>
      </c>
      <c r="AB5" t="s">
        <v>286</v>
      </c>
      <c r="AD5" t="s">
        <v>293</v>
      </c>
      <c r="AF5" t="s">
        <v>302</v>
      </c>
      <c r="AI5" t="s">
        <v>308</v>
      </c>
      <c r="AL5" t="s">
        <v>344</v>
      </c>
      <c r="AN5" t="s">
        <v>345</v>
      </c>
      <c r="AP5" t="s">
        <v>348</v>
      </c>
      <c r="AR5" s="15">
        <v>1</v>
      </c>
      <c r="AT5" t="s">
        <v>357</v>
      </c>
      <c r="AV5" t="s">
        <v>360</v>
      </c>
      <c r="AX5" t="s">
        <v>361</v>
      </c>
      <c r="AZ5" t="s">
        <v>367</v>
      </c>
      <c r="BB5" t="s">
        <v>391</v>
      </c>
      <c r="BD5" t="s">
        <v>397</v>
      </c>
      <c r="BF5">
        <v>0</v>
      </c>
      <c r="BH5" t="s">
        <v>438</v>
      </c>
      <c r="BJ5" t="s">
        <v>360</v>
      </c>
      <c r="BL5" t="s">
        <v>451</v>
      </c>
      <c r="BN5" t="s">
        <v>491</v>
      </c>
      <c r="BP5" t="s">
        <v>490</v>
      </c>
      <c r="BR5" t="s">
        <v>466</v>
      </c>
      <c r="BT5" t="s">
        <v>506</v>
      </c>
      <c r="BV5" t="s">
        <v>472</v>
      </c>
      <c r="BX5" t="s">
        <v>477</v>
      </c>
      <c r="BZ5" t="s">
        <v>482</v>
      </c>
      <c r="CB5" t="s">
        <v>524</v>
      </c>
      <c r="CD5" t="s">
        <v>361</v>
      </c>
      <c r="CE5" t="s">
        <v>269</v>
      </c>
      <c r="CF5" t="s">
        <v>566</v>
      </c>
      <c r="CH5" t="s">
        <v>570</v>
      </c>
      <c r="CJ5" t="s">
        <v>572</v>
      </c>
      <c r="CL5" t="s">
        <v>574</v>
      </c>
      <c r="CN5" t="s">
        <v>569</v>
      </c>
      <c r="CP5" t="s">
        <v>747</v>
      </c>
    </row>
    <row r="6" spans="2:94" ht="15" x14ac:dyDescent="0.3">
      <c r="F6" t="s">
        <v>14</v>
      </c>
      <c r="H6" t="s">
        <v>72</v>
      </c>
      <c r="J6" s="5"/>
      <c r="K6" s="5" t="s">
        <v>76</v>
      </c>
      <c r="L6" s="5"/>
      <c r="N6" t="s">
        <v>78</v>
      </c>
      <c r="P6" t="s">
        <v>137</v>
      </c>
      <c r="R6" t="s">
        <v>36</v>
      </c>
      <c r="T6" t="s">
        <v>38</v>
      </c>
      <c r="V6" t="s">
        <v>173</v>
      </c>
      <c r="X6" t="s">
        <v>198</v>
      </c>
      <c r="Z6" t="s">
        <v>271</v>
      </c>
      <c r="AB6" t="s">
        <v>287</v>
      </c>
      <c r="AD6" t="s">
        <v>292</v>
      </c>
      <c r="AF6" t="s">
        <v>303</v>
      </c>
      <c r="AI6" t="s">
        <v>309</v>
      </c>
      <c r="AL6" t="s">
        <v>294</v>
      </c>
      <c r="AN6" t="s">
        <v>346</v>
      </c>
      <c r="AP6" t="s">
        <v>349</v>
      </c>
      <c r="AR6" s="15">
        <v>2</v>
      </c>
      <c r="AT6" t="s">
        <v>358</v>
      </c>
      <c r="AV6" t="s">
        <v>361</v>
      </c>
      <c r="AX6" t="s">
        <v>360</v>
      </c>
      <c r="AZ6" t="s">
        <v>368</v>
      </c>
      <c r="BB6" t="s">
        <v>72</v>
      </c>
      <c r="BD6" t="s">
        <v>398</v>
      </c>
      <c r="BF6">
        <v>1</v>
      </c>
      <c r="BH6" t="s">
        <v>437</v>
      </c>
      <c r="BJ6" t="s">
        <v>361</v>
      </c>
      <c r="BL6" t="s">
        <v>452</v>
      </c>
      <c r="BN6" t="s">
        <v>490</v>
      </c>
      <c r="BP6" t="s">
        <v>461</v>
      </c>
      <c r="BR6" t="s">
        <v>467</v>
      </c>
      <c r="BT6" t="s">
        <v>507</v>
      </c>
      <c r="BV6" t="s">
        <v>473</v>
      </c>
      <c r="BX6" t="s">
        <v>478</v>
      </c>
      <c r="BZ6" t="s">
        <v>483</v>
      </c>
      <c r="CB6" t="s">
        <v>525</v>
      </c>
      <c r="CD6" t="s">
        <v>362</v>
      </c>
      <c r="CE6" t="s">
        <v>269</v>
      </c>
      <c r="CF6" t="s">
        <v>567</v>
      </c>
      <c r="CH6" t="s">
        <v>571</v>
      </c>
      <c r="CJ6" t="s">
        <v>573</v>
      </c>
      <c r="CL6" t="s">
        <v>575</v>
      </c>
      <c r="CN6" t="s">
        <v>567</v>
      </c>
      <c r="CP6" t="s">
        <v>748</v>
      </c>
    </row>
    <row r="7" spans="2:94" ht="15" x14ac:dyDescent="0.3">
      <c r="H7" s="3" t="s">
        <v>73</v>
      </c>
      <c r="J7" s="5"/>
      <c r="K7" s="5"/>
      <c r="L7" s="5"/>
      <c r="N7" t="s">
        <v>59</v>
      </c>
      <c r="P7" t="s">
        <v>138</v>
      </c>
      <c r="R7" t="s">
        <v>144</v>
      </c>
      <c r="T7" t="s">
        <v>160</v>
      </c>
      <c r="V7" t="s">
        <v>174</v>
      </c>
      <c r="X7" t="s">
        <v>199</v>
      </c>
      <c r="Z7" t="s">
        <v>272</v>
      </c>
      <c r="AB7" t="s">
        <v>288</v>
      </c>
      <c r="AD7" t="s">
        <v>294</v>
      </c>
      <c r="AF7" t="s">
        <v>304</v>
      </c>
      <c r="AI7" t="s">
        <v>310</v>
      </c>
      <c r="AL7" t="s">
        <v>345</v>
      </c>
      <c r="AN7" t="s">
        <v>347</v>
      </c>
      <c r="AP7" t="s">
        <v>350</v>
      </c>
      <c r="AR7" s="15">
        <v>3</v>
      </c>
      <c r="AT7" t="s">
        <v>359</v>
      </c>
      <c r="AV7" t="s">
        <v>362</v>
      </c>
      <c r="AX7" t="s">
        <v>364</v>
      </c>
      <c r="AZ7" t="s">
        <v>369</v>
      </c>
      <c r="BB7" s="3" t="s">
        <v>73</v>
      </c>
      <c r="BD7" t="s">
        <v>399</v>
      </c>
      <c r="BF7">
        <v>2</v>
      </c>
      <c r="BH7" t="s">
        <v>439</v>
      </c>
      <c r="BJ7" t="s">
        <v>362</v>
      </c>
      <c r="BL7" t="s">
        <v>299</v>
      </c>
      <c r="BN7" t="s">
        <v>455</v>
      </c>
      <c r="BP7" t="s">
        <v>496</v>
      </c>
      <c r="BR7" t="s">
        <v>502</v>
      </c>
      <c r="BT7" t="s">
        <v>508</v>
      </c>
      <c r="BV7" t="s">
        <v>474</v>
      </c>
      <c r="BX7" t="s">
        <v>480</v>
      </c>
      <c r="BZ7" t="s">
        <v>484</v>
      </c>
      <c r="CB7" t="s">
        <v>526</v>
      </c>
      <c r="CD7" t="s">
        <v>529</v>
      </c>
      <c r="CE7" t="s">
        <v>269</v>
      </c>
      <c r="CF7" t="s">
        <v>568</v>
      </c>
      <c r="CN7" t="s">
        <v>566</v>
      </c>
    </row>
    <row r="8" spans="2:94" ht="15" x14ac:dyDescent="0.3">
      <c r="J8" s="5"/>
      <c r="K8" s="5"/>
      <c r="L8" s="5"/>
      <c r="N8" t="s">
        <v>79</v>
      </c>
      <c r="P8" t="s">
        <v>139</v>
      </c>
      <c r="R8" t="s">
        <v>145</v>
      </c>
      <c r="T8" t="s">
        <v>161</v>
      </c>
      <c r="V8" t="s">
        <v>175</v>
      </c>
      <c r="X8" t="s">
        <v>200</v>
      </c>
      <c r="Z8" t="s">
        <v>69</v>
      </c>
      <c r="AB8" t="s">
        <v>22</v>
      </c>
      <c r="AD8" t="s">
        <v>295</v>
      </c>
      <c r="AF8" t="s">
        <v>305</v>
      </c>
      <c r="AI8" t="s">
        <v>311</v>
      </c>
      <c r="AL8" t="s">
        <v>298</v>
      </c>
      <c r="AR8" s="15">
        <v>4</v>
      </c>
      <c r="AV8" t="s">
        <v>307</v>
      </c>
      <c r="AX8" t="s">
        <v>365</v>
      </c>
      <c r="AZ8" t="s">
        <v>370</v>
      </c>
      <c r="BF8">
        <v>3</v>
      </c>
      <c r="BH8" t="s">
        <v>440</v>
      </c>
      <c r="BJ8" t="s">
        <v>449</v>
      </c>
      <c r="BL8" t="s">
        <v>453</v>
      </c>
      <c r="BN8" t="s">
        <v>492</v>
      </c>
      <c r="BP8" t="s">
        <v>497</v>
      </c>
      <c r="BR8" t="s">
        <v>503</v>
      </c>
      <c r="BT8" t="s">
        <v>509</v>
      </c>
      <c r="BV8" t="s">
        <v>475</v>
      </c>
      <c r="BX8" t="s">
        <v>479</v>
      </c>
      <c r="CB8" t="s">
        <v>527</v>
      </c>
      <c r="CD8" t="s">
        <v>364</v>
      </c>
      <c r="CE8" t="s">
        <v>269</v>
      </c>
      <c r="CF8" t="s">
        <v>569</v>
      </c>
    </row>
    <row r="9" spans="2:94" ht="15" x14ac:dyDescent="0.3">
      <c r="J9" s="5"/>
      <c r="K9" s="5"/>
      <c r="L9" s="5"/>
      <c r="N9" t="s">
        <v>80</v>
      </c>
      <c r="P9" t="s">
        <v>140</v>
      </c>
      <c r="R9" t="s">
        <v>146</v>
      </c>
      <c r="T9" t="s">
        <v>162</v>
      </c>
      <c r="V9" t="s">
        <v>176</v>
      </c>
      <c r="X9" t="s">
        <v>201</v>
      </c>
      <c r="Z9" t="s">
        <v>273</v>
      </c>
      <c r="AD9" t="s">
        <v>296</v>
      </c>
      <c r="AF9" t="s">
        <v>300</v>
      </c>
      <c r="AI9" t="s">
        <v>312</v>
      </c>
      <c r="AL9" t="s">
        <v>346</v>
      </c>
      <c r="AR9" s="15">
        <v>5</v>
      </c>
      <c r="AV9" t="s">
        <v>307</v>
      </c>
      <c r="AX9" t="s">
        <v>362</v>
      </c>
      <c r="AZ9" t="s">
        <v>371</v>
      </c>
      <c r="BF9">
        <v>4</v>
      </c>
      <c r="BN9" t="s">
        <v>456</v>
      </c>
      <c r="BP9" t="s">
        <v>462</v>
      </c>
      <c r="BR9" t="s">
        <v>504</v>
      </c>
      <c r="CD9" t="s">
        <v>365</v>
      </c>
      <c r="CE9" t="s">
        <v>269</v>
      </c>
    </row>
    <row r="10" spans="2:94" ht="15" x14ac:dyDescent="0.3">
      <c r="J10" s="5"/>
      <c r="K10" s="5" t="s">
        <v>266</v>
      </c>
      <c r="L10" s="5"/>
      <c r="N10" t="s">
        <v>81</v>
      </c>
      <c r="P10" t="s">
        <v>141</v>
      </c>
      <c r="R10" t="s">
        <v>147</v>
      </c>
      <c r="T10" t="s">
        <v>163</v>
      </c>
      <c r="V10" t="s">
        <v>177</v>
      </c>
      <c r="X10" t="s">
        <v>202</v>
      </c>
      <c r="Z10" t="s">
        <v>274</v>
      </c>
      <c r="AD10" t="s">
        <v>297</v>
      </c>
      <c r="AF10" t="s">
        <v>306</v>
      </c>
      <c r="AI10" t="s">
        <v>313</v>
      </c>
      <c r="AL10" t="s">
        <v>347</v>
      </c>
      <c r="AR10" s="15">
        <v>6</v>
      </c>
      <c r="AV10" t="s">
        <v>307</v>
      </c>
      <c r="BF10">
        <v>5</v>
      </c>
      <c r="BN10" t="s">
        <v>457</v>
      </c>
      <c r="BP10" t="s">
        <v>498</v>
      </c>
      <c r="BR10" t="s">
        <v>505</v>
      </c>
      <c r="CE10" t="s">
        <v>269</v>
      </c>
      <c r="CP10" t="s">
        <v>564</v>
      </c>
    </row>
    <row r="11" spans="2:94" ht="15" x14ac:dyDescent="0.3">
      <c r="J11" s="5"/>
      <c r="K11" s="5"/>
      <c r="L11" s="5"/>
      <c r="N11" t="s">
        <v>82</v>
      </c>
      <c r="P11" t="s">
        <v>142</v>
      </c>
      <c r="R11" t="s">
        <v>148</v>
      </c>
      <c r="T11" t="s">
        <v>164</v>
      </c>
      <c r="V11" t="s">
        <v>178</v>
      </c>
      <c r="X11" t="s">
        <v>203</v>
      </c>
      <c r="Z11" t="s">
        <v>275</v>
      </c>
      <c r="AD11" t="s">
        <v>298</v>
      </c>
      <c r="AI11" t="s">
        <v>314</v>
      </c>
      <c r="AR11" s="15" t="s">
        <v>293</v>
      </c>
      <c r="AV11" t="s">
        <v>307</v>
      </c>
      <c r="BF11">
        <v>6</v>
      </c>
      <c r="BN11" t="s">
        <v>493</v>
      </c>
      <c r="BP11" t="s">
        <v>499</v>
      </c>
      <c r="BR11" t="s">
        <v>300</v>
      </c>
      <c r="CE11" t="s">
        <v>269</v>
      </c>
    </row>
    <row r="12" spans="2:94" ht="15" x14ac:dyDescent="0.3">
      <c r="J12" s="5"/>
      <c r="K12" s="5" t="s">
        <v>30</v>
      </c>
      <c r="L12" s="5"/>
      <c r="N12" t="s">
        <v>83</v>
      </c>
      <c r="R12" t="s">
        <v>149</v>
      </c>
      <c r="T12" t="s">
        <v>165</v>
      </c>
      <c r="V12" t="s">
        <v>179</v>
      </c>
      <c r="X12" t="s">
        <v>204</v>
      </c>
      <c r="Z12" t="s">
        <v>276</v>
      </c>
      <c r="AD12" t="s">
        <v>299</v>
      </c>
      <c r="AI12" t="s">
        <v>315</v>
      </c>
      <c r="AR12" s="15" t="s">
        <v>351</v>
      </c>
      <c r="AV12" t="s">
        <v>307</v>
      </c>
      <c r="BF12">
        <v>7</v>
      </c>
      <c r="BN12" t="s">
        <v>494</v>
      </c>
      <c r="BP12" t="s">
        <v>500</v>
      </c>
      <c r="CE12" t="s">
        <v>269</v>
      </c>
      <c r="CP12" t="s">
        <v>749</v>
      </c>
    </row>
    <row r="13" spans="2:94" ht="15" x14ac:dyDescent="0.3">
      <c r="J13" s="5"/>
      <c r="K13" s="5" t="s">
        <v>32</v>
      </c>
      <c r="L13" s="5"/>
      <c r="N13" t="s">
        <v>41</v>
      </c>
      <c r="R13" t="s">
        <v>150</v>
      </c>
      <c r="T13" t="s">
        <v>166</v>
      </c>
      <c r="V13" t="s">
        <v>180</v>
      </c>
      <c r="X13" t="s">
        <v>205</v>
      </c>
      <c r="Z13" t="s">
        <v>277</v>
      </c>
      <c r="AD13" t="s">
        <v>300</v>
      </c>
      <c r="AI13" t="s">
        <v>316</v>
      </c>
      <c r="AR13" s="15" t="s">
        <v>282</v>
      </c>
      <c r="AV13" t="s">
        <v>307</v>
      </c>
      <c r="BF13">
        <v>8</v>
      </c>
      <c r="BN13" t="s">
        <v>458</v>
      </c>
      <c r="BP13" t="s">
        <v>501</v>
      </c>
      <c r="CE13" t="s">
        <v>269</v>
      </c>
      <c r="CP13" t="s">
        <v>750</v>
      </c>
    </row>
    <row r="14" spans="2:94" ht="15" x14ac:dyDescent="0.3">
      <c r="B14" t="s">
        <v>16</v>
      </c>
      <c r="J14" s="5"/>
      <c r="K14" s="5" t="s">
        <v>34</v>
      </c>
      <c r="L14" s="5"/>
      <c r="N14" t="s">
        <v>84</v>
      </c>
      <c r="R14" t="s">
        <v>151</v>
      </c>
      <c r="T14" t="s">
        <v>167</v>
      </c>
      <c r="V14" t="s">
        <v>181</v>
      </c>
      <c r="X14" t="s">
        <v>206</v>
      </c>
      <c r="Z14" t="s">
        <v>278</v>
      </c>
      <c r="AI14" t="s">
        <v>317</v>
      </c>
      <c r="AR14" s="15" t="s">
        <v>352</v>
      </c>
      <c r="AV14" t="s">
        <v>307</v>
      </c>
      <c r="BF14">
        <v>9</v>
      </c>
      <c r="BN14" t="s">
        <v>495</v>
      </c>
      <c r="BP14" t="s">
        <v>487</v>
      </c>
      <c r="CE14" t="s">
        <v>269</v>
      </c>
      <c r="CP14" t="s">
        <v>575</v>
      </c>
    </row>
    <row r="15" spans="2:94" ht="15" x14ac:dyDescent="0.3">
      <c r="J15" s="5"/>
      <c r="K15" s="5" t="s">
        <v>35</v>
      </c>
      <c r="L15" s="5"/>
      <c r="N15" t="s">
        <v>85</v>
      </c>
      <c r="R15" t="s">
        <v>152</v>
      </c>
      <c r="T15" t="s">
        <v>168</v>
      </c>
      <c r="V15" t="s">
        <v>182</v>
      </c>
      <c r="X15" t="s">
        <v>207</v>
      </c>
      <c r="Z15" t="s">
        <v>279</v>
      </c>
      <c r="AI15" t="s">
        <v>318</v>
      </c>
      <c r="AV15" t="s">
        <v>307</v>
      </c>
      <c r="BF15">
        <v>10</v>
      </c>
      <c r="BN15" t="s">
        <v>459</v>
      </c>
      <c r="CE15" t="s">
        <v>269</v>
      </c>
      <c r="CP15" t="s">
        <v>751</v>
      </c>
    </row>
    <row r="16" spans="2:94" ht="15" x14ac:dyDescent="0.3">
      <c r="B16" t="s">
        <v>17</v>
      </c>
      <c r="J16" s="5"/>
      <c r="K16" s="5" t="s">
        <v>37</v>
      </c>
      <c r="L16" s="5"/>
      <c r="N16" t="s">
        <v>86</v>
      </c>
      <c r="R16" t="s">
        <v>153</v>
      </c>
      <c r="T16" t="s">
        <v>169</v>
      </c>
      <c r="V16" t="s">
        <v>183</v>
      </c>
      <c r="X16" t="s">
        <v>208</v>
      </c>
      <c r="Z16" t="s">
        <v>280</v>
      </c>
      <c r="AI16" t="s">
        <v>319</v>
      </c>
      <c r="AV16" t="s">
        <v>307</v>
      </c>
    </row>
    <row r="17" spans="2:68" ht="15" x14ac:dyDescent="0.3">
      <c r="B17" t="s">
        <v>18</v>
      </c>
      <c r="J17" s="5"/>
      <c r="K17" s="5" t="s">
        <v>267</v>
      </c>
      <c r="L17" s="5"/>
      <c r="N17" t="s">
        <v>87</v>
      </c>
      <c r="R17" t="s">
        <v>154</v>
      </c>
      <c r="T17" t="s">
        <v>170</v>
      </c>
      <c r="V17" t="s">
        <v>184</v>
      </c>
      <c r="X17" t="s">
        <v>209</v>
      </c>
      <c r="Z17" t="s">
        <v>281</v>
      </c>
      <c r="AI17" t="s">
        <v>320</v>
      </c>
      <c r="AO17" t="s">
        <v>269</v>
      </c>
    </row>
    <row r="18" spans="2:68" ht="15" x14ac:dyDescent="0.3">
      <c r="B18" t="s">
        <v>19</v>
      </c>
      <c r="J18" s="5"/>
      <c r="K18" s="5" t="s">
        <v>48</v>
      </c>
      <c r="L18" s="5"/>
      <c r="N18" t="s">
        <v>88</v>
      </c>
      <c r="R18" t="s">
        <v>155</v>
      </c>
      <c r="T18" t="s">
        <v>171</v>
      </c>
      <c r="V18" t="s">
        <v>185</v>
      </c>
      <c r="X18" t="s">
        <v>210</v>
      </c>
      <c r="Z18" t="s">
        <v>282</v>
      </c>
    </row>
    <row r="19" spans="2:68" ht="15" x14ac:dyDescent="0.3">
      <c r="B19" t="s">
        <v>20</v>
      </c>
      <c r="J19" s="5"/>
      <c r="K19" s="5"/>
      <c r="L19" s="5"/>
      <c r="N19" t="s">
        <v>89</v>
      </c>
      <c r="R19" t="s">
        <v>156</v>
      </c>
      <c r="V19" t="s">
        <v>186</v>
      </c>
      <c r="X19" t="s">
        <v>211</v>
      </c>
    </row>
    <row r="20" spans="2:68" ht="15" x14ac:dyDescent="0.3">
      <c r="J20" s="5"/>
      <c r="K20" t="s">
        <v>488</v>
      </c>
      <c r="L20" s="5"/>
      <c r="N20" t="s">
        <v>90</v>
      </c>
      <c r="R20" t="s">
        <v>157</v>
      </c>
      <c r="V20" t="s">
        <v>187</v>
      </c>
      <c r="X20" t="s">
        <v>212</v>
      </c>
    </row>
    <row r="21" spans="2:68" ht="15" x14ac:dyDescent="0.3">
      <c r="J21" s="5"/>
      <c r="L21" s="5"/>
      <c r="N21" t="s">
        <v>91</v>
      </c>
      <c r="R21" t="s">
        <v>158</v>
      </c>
      <c r="V21" t="s">
        <v>188</v>
      </c>
      <c r="X21" t="s">
        <v>213</v>
      </c>
    </row>
    <row r="22" spans="2:68" ht="15" x14ac:dyDescent="0.3">
      <c r="B22" t="s">
        <v>26</v>
      </c>
      <c r="J22" s="5"/>
      <c r="K22" s="5" t="s">
        <v>75</v>
      </c>
      <c r="L22" s="5"/>
      <c r="N22" t="s">
        <v>92</v>
      </c>
      <c r="V22" t="s">
        <v>189</v>
      </c>
      <c r="X22" t="s">
        <v>214</v>
      </c>
    </row>
    <row r="23" spans="2:68" ht="15" x14ac:dyDescent="0.3">
      <c r="J23" s="5"/>
      <c r="K23" s="5" t="s">
        <v>76</v>
      </c>
      <c r="L23" s="5"/>
      <c r="N23" t="s">
        <v>93</v>
      </c>
      <c r="V23" t="s">
        <v>190</v>
      </c>
      <c r="X23" t="s">
        <v>215</v>
      </c>
    </row>
    <row r="24" spans="2:68" ht="15" x14ac:dyDescent="0.3">
      <c r="B24" t="s">
        <v>28</v>
      </c>
      <c r="J24" s="5"/>
      <c r="K24" s="5" t="s">
        <v>487</v>
      </c>
      <c r="L24" s="5"/>
      <c r="N24" t="s">
        <v>94</v>
      </c>
      <c r="V24" t="s">
        <v>191</v>
      </c>
      <c r="X24" t="s">
        <v>216</v>
      </c>
      <c r="BP24" t="s">
        <v>469</v>
      </c>
    </row>
    <row r="25" spans="2:68" ht="15" x14ac:dyDescent="0.3">
      <c r="B25" t="s">
        <v>29</v>
      </c>
      <c r="J25" s="5"/>
      <c r="K25" s="5"/>
      <c r="L25" s="5"/>
      <c r="N25" t="s">
        <v>95</v>
      </c>
      <c r="V25" t="s">
        <v>192</v>
      </c>
      <c r="X25" t="s">
        <v>217</v>
      </c>
    </row>
    <row r="26" spans="2:68" ht="15" x14ac:dyDescent="0.3">
      <c r="J26" s="5"/>
      <c r="K26" s="5"/>
      <c r="L26" s="5"/>
      <c r="N26" t="s">
        <v>96</v>
      </c>
      <c r="V26" t="s">
        <v>193</v>
      </c>
      <c r="X26" t="s">
        <v>218</v>
      </c>
    </row>
    <row r="27" spans="2:68" ht="15" x14ac:dyDescent="0.3">
      <c r="B27" s="6" t="s">
        <v>68</v>
      </c>
      <c r="J27" s="5"/>
      <c r="K27" s="5"/>
      <c r="L27" s="5"/>
      <c r="N27" t="s">
        <v>97</v>
      </c>
      <c r="V27" t="s">
        <v>194</v>
      </c>
      <c r="X27" t="s">
        <v>219</v>
      </c>
    </row>
    <row r="28" spans="2:68" ht="15" x14ac:dyDescent="0.3">
      <c r="B28" s="6"/>
      <c r="J28" s="5"/>
      <c r="K28" s="5"/>
      <c r="L28" s="5"/>
      <c r="N28" t="s">
        <v>98</v>
      </c>
      <c r="V28" t="s">
        <v>40</v>
      </c>
      <c r="X28" t="s">
        <v>220</v>
      </c>
    </row>
    <row r="29" spans="2:68" ht="15" x14ac:dyDescent="0.3">
      <c r="B29" s="5" t="s">
        <v>30</v>
      </c>
      <c r="J29" s="5"/>
      <c r="K29" s="5"/>
      <c r="L29" s="5"/>
      <c r="N29" t="s">
        <v>99</v>
      </c>
      <c r="V29" t="s">
        <v>195</v>
      </c>
      <c r="X29" t="s">
        <v>221</v>
      </c>
      <c r="BO29" t="s">
        <v>463</v>
      </c>
    </row>
    <row r="30" spans="2:68" ht="15" x14ac:dyDescent="0.3">
      <c r="B30" s="5" t="s">
        <v>32</v>
      </c>
      <c r="J30" s="5"/>
      <c r="K30" s="5"/>
      <c r="L30" s="5"/>
      <c r="N30" t="s">
        <v>100</v>
      </c>
      <c r="V30" t="s">
        <v>196</v>
      </c>
      <c r="X30" t="s">
        <v>222</v>
      </c>
      <c r="BO30" t="s">
        <v>464</v>
      </c>
    </row>
    <row r="31" spans="2:68" ht="15" x14ac:dyDescent="0.3">
      <c r="B31" s="5" t="s">
        <v>34</v>
      </c>
      <c r="J31" s="5"/>
      <c r="K31" s="5"/>
      <c r="L31" s="5"/>
      <c r="N31" t="s">
        <v>101</v>
      </c>
      <c r="X31" t="s">
        <v>223</v>
      </c>
    </row>
    <row r="32" spans="2:68" ht="15" x14ac:dyDescent="0.3">
      <c r="B32" s="5" t="s">
        <v>35</v>
      </c>
      <c r="J32" s="5"/>
      <c r="K32" s="5"/>
      <c r="L32" s="5"/>
      <c r="N32" t="s">
        <v>102</v>
      </c>
      <c r="X32" t="s">
        <v>224</v>
      </c>
    </row>
    <row r="33" spans="2:24" ht="15" x14ac:dyDescent="0.3">
      <c r="B33" s="5" t="s">
        <v>37</v>
      </c>
      <c r="J33" s="5"/>
      <c r="K33" s="5"/>
      <c r="L33" s="5"/>
      <c r="N33" t="s">
        <v>103</v>
      </c>
      <c r="X33" t="s">
        <v>225</v>
      </c>
    </row>
    <row r="34" spans="2:24" ht="15" x14ac:dyDescent="0.3">
      <c r="B34" s="5" t="s">
        <v>39</v>
      </c>
      <c r="J34" s="5"/>
      <c r="K34" s="5"/>
      <c r="L34" s="5"/>
      <c r="N34" t="s">
        <v>104</v>
      </c>
      <c r="X34" t="s">
        <v>226</v>
      </c>
    </row>
    <row r="35" spans="2:24" ht="15" x14ac:dyDescent="0.3">
      <c r="B35" s="5" t="s">
        <v>41</v>
      </c>
      <c r="J35" s="5"/>
      <c r="K35" s="5"/>
      <c r="L35" s="5"/>
      <c r="N35" t="s">
        <v>105</v>
      </c>
      <c r="X35" t="s">
        <v>227</v>
      </c>
    </row>
    <row r="36" spans="2:24" ht="15" x14ac:dyDescent="0.3">
      <c r="B36" s="5" t="s">
        <v>42</v>
      </c>
      <c r="J36" s="5"/>
      <c r="K36" s="5"/>
      <c r="L36" s="5"/>
      <c r="N36" t="s">
        <v>106</v>
      </c>
      <c r="X36" t="s">
        <v>228</v>
      </c>
    </row>
    <row r="37" spans="2:24" ht="15" x14ac:dyDescent="0.3">
      <c r="B37" s="5" t="s">
        <v>43</v>
      </c>
      <c r="K37" s="5"/>
      <c r="N37" t="s">
        <v>107</v>
      </c>
      <c r="X37" t="s">
        <v>229</v>
      </c>
    </row>
    <row r="38" spans="2:24" ht="15" x14ac:dyDescent="0.3">
      <c r="B38" s="5" t="s">
        <v>44</v>
      </c>
      <c r="N38" t="s">
        <v>108</v>
      </c>
      <c r="X38" t="s">
        <v>230</v>
      </c>
    </row>
    <row r="39" spans="2:24" ht="15" x14ac:dyDescent="0.3">
      <c r="B39" s="5" t="s">
        <v>45</v>
      </c>
      <c r="N39" t="s">
        <v>109</v>
      </c>
      <c r="X39" t="s">
        <v>231</v>
      </c>
    </row>
    <row r="40" spans="2:24" ht="15" x14ac:dyDescent="0.3">
      <c r="B40" s="5" t="s">
        <v>46</v>
      </c>
      <c r="N40" t="s">
        <v>110</v>
      </c>
      <c r="X40" t="s">
        <v>232</v>
      </c>
    </row>
    <row r="41" spans="2:24" ht="15" x14ac:dyDescent="0.3">
      <c r="B41" s="5" t="s">
        <v>47</v>
      </c>
      <c r="N41" t="s">
        <v>111</v>
      </c>
      <c r="X41" t="s">
        <v>55</v>
      </c>
    </row>
    <row r="42" spans="2:24" ht="15" x14ac:dyDescent="0.3">
      <c r="B42" s="5" t="s">
        <v>48</v>
      </c>
      <c r="N42" t="s">
        <v>33</v>
      </c>
      <c r="X42" t="s">
        <v>233</v>
      </c>
    </row>
    <row r="43" spans="2:24" ht="15" x14ac:dyDescent="0.3">
      <c r="B43" s="5" t="s">
        <v>49</v>
      </c>
      <c r="N43" t="s">
        <v>112</v>
      </c>
      <c r="X43" t="s">
        <v>234</v>
      </c>
    </row>
    <row r="44" spans="2:24" ht="15" x14ac:dyDescent="0.3">
      <c r="B44" s="5" t="s">
        <v>50</v>
      </c>
      <c r="N44" t="s">
        <v>113</v>
      </c>
      <c r="X44" t="s">
        <v>235</v>
      </c>
    </row>
    <row r="45" spans="2:24" ht="15" x14ac:dyDescent="0.3">
      <c r="B45" s="5" t="s">
        <v>51</v>
      </c>
      <c r="N45" t="s">
        <v>114</v>
      </c>
      <c r="X45" t="s">
        <v>236</v>
      </c>
    </row>
    <row r="46" spans="2:24" ht="15" x14ac:dyDescent="0.3">
      <c r="B46" s="5" t="s">
        <v>52</v>
      </c>
      <c r="N46" t="s">
        <v>115</v>
      </c>
      <c r="X46" t="s">
        <v>237</v>
      </c>
    </row>
    <row r="47" spans="2:24" ht="15" x14ac:dyDescent="0.3">
      <c r="B47" s="5" t="s">
        <v>53</v>
      </c>
      <c r="N47" t="s">
        <v>116</v>
      </c>
      <c r="X47" t="s">
        <v>238</v>
      </c>
    </row>
    <row r="48" spans="2:24" ht="15" x14ac:dyDescent="0.3">
      <c r="B48" s="5" t="s">
        <v>54</v>
      </c>
      <c r="N48" t="s">
        <v>117</v>
      </c>
      <c r="X48" t="s">
        <v>239</v>
      </c>
    </row>
    <row r="49" spans="2:24" ht="15" x14ac:dyDescent="0.3">
      <c r="B49" s="5" t="s">
        <v>55</v>
      </c>
      <c r="N49" t="s">
        <v>118</v>
      </c>
      <c r="X49" t="s">
        <v>240</v>
      </c>
    </row>
    <row r="50" spans="2:24" ht="30" x14ac:dyDescent="0.3">
      <c r="B50" s="5" t="s">
        <v>56</v>
      </c>
      <c r="N50" t="s">
        <v>119</v>
      </c>
      <c r="X50" t="s">
        <v>241</v>
      </c>
    </row>
    <row r="51" spans="2:24" ht="15" x14ac:dyDescent="0.3">
      <c r="B51" s="5" t="s">
        <v>57</v>
      </c>
      <c r="N51" t="s">
        <v>120</v>
      </c>
      <c r="X51" t="s">
        <v>242</v>
      </c>
    </row>
    <row r="52" spans="2:24" ht="15" x14ac:dyDescent="0.3">
      <c r="B52" s="5" t="s">
        <v>58</v>
      </c>
      <c r="N52" t="s">
        <v>121</v>
      </c>
      <c r="X52" t="s">
        <v>243</v>
      </c>
    </row>
    <row r="53" spans="2:24" ht="15" x14ac:dyDescent="0.3">
      <c r="B53" s="5" t="s">
        <v>60</v>
      </c>
      <c r="N53" t="s">
        <v>122</v>
      </c>
      <c r="X53" t="s">
        <v>244</v>
      </c>
    </row>
    <row r="54" spans="2:24" ht="30" x14ac:dyDescent="0.3">
      <c r="B54" s="5" t="s">
        <v>61</v>
      </c>
      <c r="N54" t="s">
        <v>123</v>
      </c>
      <c r="X54" t="s">
        <v>245</v>
      </c>
    </row>
    <row r="55" spans="2:24" ht="15" x14ac:dyDescent="0.3">
      <c r="B55" s="5" t="s">
        <v>62</v>
      </c>
      <c r="N55" t="s">
        <v>124</v>
      </c>
      <c r="X55" t="s">
        <v>246</v>
      </c>
    </row>
    <row r="56" spans="2:24" ht="15" x14ac:dyDescent="0.3">
      <c r="B56" s="5" t="s">
        <v>63</v>
      </c>
      <c r="N56" t="s">
        <v>125</v>
      </c>
      <c r="X56" t="s">
        <v>247</v>
      </c>
    </row>
    <row r="57" spans="2:24" ht="15" x14ac:dyDescent="0.3">
      <c r="B57" s="5" t="s">
        <v>64</v>
      </c>
      <c r="N57" t="s">
        <v>126</v>
      </c>
      <c r="X57" t="s">
        <v>248</v>
      </c>
    </row>
    <row r="58" spans="2:24" ht="15" x14ac:dyDescent="0.3">
      <c r="B58" s="5" t="s">
        <v>65</v>
      </c>
      <c r="N58" t="s">
        <v>127</v>
      </c>
      <c r="X58" t="s">
        <v>249</v>
      </c>
    </row>
    <row r="59" spans="2:24" ht="15" x14ac:dyDescent="0.3">
      <c r="B59" s="5" t="s">
        <v>66</v>
      </c>
      <c r="N59" t="s">
        <v>128</v>
      </c>
      <c r="X59" t="s">
        <v>250</v>
      </c>
    </row>
    <row r="60" spans="2:24" ht="15" x14ac:dyDescent="0.3">
      <c r="B60" s="5" t="s">
        <v>67</v>
      </c>
      <c r="N60" t="s">
        <v>129</v>
      </c>
      <c r="X60" t="s">
        <v>251</v>
      </c>
    </row>
    <row r="61" spans="2:24" x14ac:dyDescent="0.3">
      <c r="N61" t="s">
        <v>130</v>
      </c>
      <c r="X61" t="s">
        <v>252</v>
      </c>
    </row>
    <row r="62" spans="2:24" x14ac:dyDescent="0.3">
      <c r="N62" t="s">
        <v>131</v>
      </c>
      <c r="X62" t="s">
        <v>253</v>
      </c>
    </row>
    <row r="63" spans="2:24" x14ac:dyDescent="0.3">
      <c r="N63" t="s">
        <v>132</v>
      </c>
      <c r="X63" t="s">
        <v>254</v>
      </c>
    </row>
    <row r="64" spans="2:24" x14ac:dyDescent="0.3">
      <c r="N64" t="s">
        <v>133</v>
      </c>
      <c r="X64" t="s">
        <v>255</v>
      </c>
    </row>
    <row r="65" spans="14:24" x14ac:dyDescent="0.3">
      <c r="N65" t="s">
        <v>134</v>
      </c>
      <c r="X65" t="s">
        <v>256</v>
      </c>
    </row>
    <row r="66" spans="14:24" x14ac:dyDescent="0.3">
      <c r="N66" t="s">
        <v>135</v>
      </c>
      <c r="X66" t="s">
        <v>257</v>
      </c>
    </row>
    <row r="67" spans="14:24" x14ac:dyDescent="0.3">
      <c r="X67" t="s">
        <v>258</v>
      </c>
    </row>
    <row r="68" spans="14:24" x14ac:dyDescent="0.3">
      <c r="X68" t="s">
        <v>259</v>
      </c>
    </row>
    <row r="69" spans="14:24" x14ac:dyDescent="0.3">
      <c r="X69" t="s">
        <v>260</v>
      </c>
    </row>
    <row r="70" spans="14:24" x14ac:dyDescent="0.3">
      <c r="X70" t="s">
        <v>261</v>
      </c>
    </row>
    <row r="71" spans="14:24" x14ac:dyDescent="0.3">
      <c r="X71" t="s">
        <v>262</v>
      </c>
    </row>
    <row r="72" spans="14:24" x14ac:dyDescent="0.3">
      <c r="X72" t="s">
        <v>263</v>
      </c>
    </row>
    <row r="73" spans="14:24" x14ac:dyDescent="0.3">
      <c r="X73" t="s">
        <v>264</v>
      </c>
    </row>
    <row r="74" spans="14:24" x14ac:dyDescent="0.3">
      <c r="X74" t="s">
        <v>265</v>
      </c>
    </row>
    <row r="75" spans="14:24" x14ac:dyDescent="0.3">
      <c r="X75" t="s">
        <v>264</v>
      </c>
    </row>
    <row r="76" spans="14:24" x14ac:dyDescent="0.3">
      <c r="X76" t="s">
        <v>265</v>
      </c>
    </row>
  </sheetData>
  <pageMargins left="0.7" right="0.7" top="0.75" bottom="0.75" header="0.3" footer="0.3"/>
  <pageSetup paperSize="9" orientation="portrait" r:id="rId1"/>
  <tableParts count="5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5DCDA-6314-49C2-A7BB-4C7DE313629C}">
  <sheetPr codeName="Hoja2">
    <tabColor theme="0"/>
  </sheetPr>
  <dimension ref="A1:S135"/>
  <sheetViews>
    <sheetView showGridLines="0" view="pageBreakPreview" zoomScale="60" zoomScaleNormal="100" workbookViewId="0">
      <pane ySplit="5" topLeftCell="A52" activePane="bottomLeft" state="frozen"/>
      <selection pane="bottomLeft" activeCell="D81" sqref="D81:Q99"/>
    </sheetView>
  </sheetViews>
  <sheetFormatPr baseColWidth="10" defaultRowHeight="14.4" x14ac:dyDescent="0.3"/>
  <cols>
    <col min="1" max="1" width="1.88671875" customWidth="1"/>
    <col min="2" max="2" width="16.21875" customWidth="1"/>
    <col min="7" max="7" width="12.6640625" customWidth="1"/>
    <col min="10" max="10" width="12.77734375" bestFit="1" customWidth="1"/>
    <col min="13" max="13" width="11.5546875" customWidth="1"/>
    <col min="17" max="17" width="11.88671875" customWidth="1"/>
    <col min="18" max="18" width="12.44140625" customWidth="1"/>
  </cols>
  <sheetData>
    <row r="1" spans="1:18" ht="16.2" customHeight="1" x14ac:dyDescent="0.3">
      <c r="A1" s="214" t="s">
        <v>15</v>
      </c>
      <c r="B1" s="214"/>
      <c r="C1" s="214"/>
      <c r="D1" s="214"/>
      <c r="E1" s="214"/>
      <c r="F1" s="214"/>
      <c r="G1" s="214"/>
      <c r="H1" s="214"/>
      <c r="I1" s="214"/>
      <c r="J1" s="214"/>
      <c r="K1" s="64"/>
      <c r="L1" s="64"/>
      <c r="M1" s="64"/>
      <c r="N1" s="65"/>
      <c r="O1" s="210" t="s">
        <v>598</v>
      </c>
      <c r="P1" s="210"/>
      <c r="Q1" s="210"/>
      <c r="R1" s="210"/>
    </row>
    <row r="2" spans="1:18" ht="16.2" customHeight="1" x14ac:dyDescent="0.3">
      <c r="A2" s="214"/>
      <c r="B2" s="214"/>
      <c r="C2" s="214"/>
      <c r="D2" s="214"/>
      <c r="E2" s="214"/>
      <c r="F2" s="214"/>
      <c r="G2" s="214"/>
      <c r="H2" s="214"/>
      <c r="I2" s="214"/>
      <c r="J2" s="214"/>
      <c r="K2" s="64"/>
      <c r="L2" s="64"/>
      <c r="M2" s="64"/>
      <c r="N2" s="65"/>
      <c r="O2" s="210" t="s">
        <v>599</v>
      </c>
      <c r="P2" s="210"/>
      <c r="Q2" s="210"/>
      <c r="R2" s="210"/>
    </row>
    <row r="3" spans="1:18" ht="15" x14ac:dyDescent="0.3">
      <c r="A3" s="213" t="s">
        <v>602</v>
      </c>
      <c r="B3" s="213"/>
      <c r="C3" s="213"/>
      <c r="D3" s="213"/>
      <c r="E3" s="213"/>
      <c r="F3" s="213"/>
      <c r="G3" s="66"/>
      <c r="H3" s="66"/>
      <c r="I3" s="66"/>
      <c r="J3" s="66"/>
      <c r="K3" s="66"/>
      <c r="L3" s="66"/>
      <c r="M3" s="66"/>
      <c r="N3" s="65"/>
      <c r="O3" s="210" t="s">
        <v>600</v>
      </c>
      <c r="P3" s="210"/>
      <c r="Q3" s="210"/>
      <c r="R3" s="210"/>
    </row>
    <row r="4" spans="1:18" ht="15" x14ac:dyDescent="0.3">
      <c r="A4" s="212" t="s">
        <v>603</v>
      </c>
      <c r="B4" s="212"/>
      <c r="C4" s="212"/>
      <c r="D4" s="212"/>
      <c r="E4" s="212"/>
      <c r="F4" s="212"/>
      <c r="G4" s="212"/>
      <c r="H4" s="212"/>
      <c r="I4" s="212"/>
      <c r="J4" s="212"/>
      <c r="K4" s="212"/>
      <c r="L4" s="66"/>
      <c r="M4" s="66"/>
      <c r="N4" s="65"/>
      <c r="O4" s="210" t="s">
        <v>601</v>
      </c>
      <c r="P4" s="210"/>
      <c r="Q4" s="210"/>
      <c r="R4" s="210"/>
    </row>
    <row r="5" spans="1:18" x14ac:dyDescent="0.3">
      <c r="A5" s="213" t="s">
        <v>604</v>
      </c>
      <c r="B5" s="213"/>
      <c r="C5" s="213"/>
      <c r="D5" s="213"/>
      <c r="E5" s="213"/>
      <c r="F5" s="213"/>
      <c r="G5" s="213"/>
      <c r="H5" s="213"/>
      <c r="I5" s="213"/>
      <c r="J5" s="213"/>
      <c r="K5" s="213"/>
      <c r="L5" s="66"/>
      <c r="M5" s="66"/>
      <c r="N5" s="66"/>
      <c r="O5" s="66"/>
      <c r="P5" s="66"/>
      <c r="Q5" s="66"/>
      <c r="R5" s="65"/>
    </row>
    <row r="6" spans="1:18" s="72" customFormat="1" x14ac:dyDescent="0.3">
      <c r="A6" s="70"/>
      <c r="B6" s="70"/>
      <c r="C6" s="70"/>
      <c r="D6" s="70"/>
      <c r="E6" s="70"/>
      <c r="F6" s="70"/>
      <c r="G6" s="70"/>
      <c r="H6" s="70"/>
      <c r="I6" s="70"/>
      <c r="J6" s="70"/>
      <c r="K6" s="70"/>
      <c r="L6" s="71"/>
      <c r="M6" s="71"/>
      <c r="N6" s="71"/>
      <c r="O6" s="71"/>
      <c r="P6" s="71"/>
      <c r="Q6" s="71"/>
    </row>
    <row r="7" spans="1:18" s="72" customFormat="1" ht="20.399999999999999" x14ac:dyDescent="0.3">
      <c r="A7" s="70"/>
      <c r="B7" s="211" t="s">
        <v>610</v>
      </c>
      <c r="C7" s="211"/>
      <c r="D7" s="211"/>
      <c r="E7" s="211"/>
      <c r="F7" s="211"/>
      <c r="G7" s="211"/>
      <c r="H7" s="211"/>
      <c r="I7" s="211"/>
      <c r="J7" s="211"/>
      <c r="K7" s="211"/>
      <c r="L7" s="211"/>
      <c r="M7" s="211"/>
      <c r="N7" s="211"/>
      <c r="O7" s="211"/>
      <c r="P7" s="211"/>
      <c r="Q7" s="211"/>
      <c r="R7" s="211"/>
    </row>
    <row r="8" spans="1:18" s="72" customFormat="1" x14ac:dyDescent="0.3">
      <c r="A8" s="70"/>
      <c r="B8" s="70"/>
      <c r="C8" s="70"/>
      <c r="D8" s="70"/>
      <c r="E8" s="70"/>
      <c r="F8" s="70"/>
      <c r="G8" s="70"/>
      <c r="H8" s="70"/>
      <c r="I8" s="70"/>
      <c r="J8" s="70"/>
      <c r="K8" s="70"/>
      <c r="L8" s="71"/>
      <c r="M8" s="71"/>
      <c r="N8" s="71"/>
      <c r="O8" s="71"/>
      <c r="P8" s="71"/>
      <c r="Q8" s="71"/>
    </row>
    <row r="9" spans="1:18" s="72" customFormat="1" x14ac:dyDescent="0.3">
      <c r="A9" s="70"/>
      <c r="B9" s="70"/>
      <c r="C9" s="70"/>
      <c r="D9" s="70"/>
      <c r="E9" s="70"/>
      <c r="F9" s="70"/>
      <c r="G9" s="70"/>
      <c r="H9" s="70"/>
      <c r="I9" s="70"/>
      <c r="J9" s="70"/>
      <c r="K9" s="70"/>
      <c r="L9" s="71"/>
      <c r="M9" s="71"/>
      <c r="N9" s="71"/>
      <c r="O9" s="71"/>
      <c r="P9" s="71"/>
      <c r="Q9" s="71"/>
    </row>
    <row r="10" spans="1:18" s="72" customFormat="1" x14ac:dyDescent="0.3">
      <c r="A10" s="70"/>
      <c r="B10" s="70"/>
      <c r="C10" s="70"/>
      <c r="D10" s="70"/>
      <c r="E10" s="70"/>
      <c r="F10" s="70"/>
      <c r="G10" s="70"/>
      <c r="H10" s="70"/>
      <c r="I10" s="70"/>
      <c r="J10" s="70"/>
      <c r="K10" s="70"/>
      <c r="L10" s="71"/>
      <c r="M10" s="71"/>
      <c r="N10" s="71"/>
      <c r="O10" s="71"/>
      <c r="P10" s="71"/>
      <c r="Q10" s="71"/>
    </row>
    <row r="11" spans="1:18" s="72" customFormat="1" x14ac:dyDescent="0.3">
      <c r="A11" s="70"/>
      <c r="B11" s="70"/>
      <c r="C11" s="70"/>
      <c r="D11" s="70"/>
      <c r="E11" s="70"/>
      <c r="F11" s="70"/>
      <c r="G11" s="70"/>
      <c r="H11" s="70"/>
      <c r="I11" s="70"/>
      <c r="J11" s="70"/>
      <c r="K11" s="70"/>
      <c r="L11" s="71"/>
      <c r="M11" s="71"/>
      <c r="N11" s="71"/>
      <c r="O11" s="71"/>
      <c r="P11" s="71"/>
      <c r="Q11" s="71"/>
    </row>
    <row r="12" spans="1:18" s="72" customFormat="1" x14ac:dyDescent="0.3">
      <c r="A12" s="70"/>
      <c r="B12" s="70"/>
      <c r="C12" s="70"/>
      <c r="D12" s="70"/>
      <c r="E12" s="70"/>
      <c r="F12" s="70"/>
      <c r="G12" s="70"/>
      <c r="H12" s="70"/>
      <c r="I12" s="70"/>
      <c r="J12" s="70"/>
      <c r="K12" s="70"/>
      <c r="L12" s="71"/>
      <c r="M12" s="71"/>
      <c r="N12" s="71"/>
      <c r="O12" s="71"/>
      <c r="P12" s="71"/>
      <c r="Q12" s="71"/>
    </row>
    <row r="13" spans="1:18" s="72" customFormat="1" x14ac:dyDescent="0.3">
      <c r="A13" s="70"/>
      <c r="B13" s="70"/>
      <c r="C13" s="70"/>
      <c r="D13" s="70"/>
      <c r="E13" s="70"/>
      <c r="F13" s="70"/>
      <c r="G13" s="70"/>
      <c r="H13" s="70"/>
      <c r="I13" s="70"/>
      <c r="J13" s="70"/>
      <c r="K13" s="70"/>
      <c r="L13" s="71"/>
      <c r="M13" s="71"/>
      <c r="N13" s="71"/>
      <c r="O13" s="71"/>
      <c r="P13" s="71"/>
      <c r="Q13" s="71"/>
    </row>
    <row r="14" spans="1:18" s="72" customFormat="1" x14ac:dyDescent="0.3">
      <c r="A14" s="70"/>
      <c r="B14" s="70"/>
      <c r="C14" s="70"/>
      <c r="D14" s="70"/>
      <c r="E14" s="70"/>
      <c r="F14" s="70"/>
      <c r="G14" s="70"/>
      <c r="H14" s="70"/>
      <c r="I14" s="70"/>
      <c r="J14" s="70"/>
      <c r="K14" s="70"/>
      <c r="L14" s="71"/>
      <c r="M14" s="71"/>
      <c r="N14" s="71"/>
      <c r="O14" s="71"/>
      <c r="P14" s="71"/>
      <c r="Q14" s="71"/>
    </row>
    <row r="15" spans="1:18" s="72" customFormat="1" x14ac:dyDescent="0.3">
      <c r="A15" s="70"/>
      <c r="B15" s="70"/>
      <c r="C15" s="70"/>
      <c r="D15" s="70"/>
      <c r="E15" s="70"/>
      <c r="F15" s="70"/>
      <c r="G15" s="70"/>
      <c r="H15" s="70"/>
      <c r="I15" s="70"/>
      <c r="J15" s="70"/>
      <c r="K15" s="70"/>
      <c r="L15" s="71"/>
      <c r="M15" s="71"/>
      <c r="N15" s="71"/>
      <c r="O15" s="71"/>
      <c r="P15" s="71"/>
      <c r="Q15" s="71"/>
    </row>
    <row r="16" spans="1:18" s="72" customFormat="1" x14ac:dyDescent="0.3">
      <c r="A16" s="70"/>
      <c r="B16" s="70"/>
      <c r="C16" s="70"/>
      <c r="D16" s="70"/>
      <c r="E16" s="70"/>
      <c r="F16" s="70"/>
      <c r="G16" s="70"/>
      <c r="H16" s="70"/>
      <c r="I16" s="70"/>
      <c r="J16" s="70"/>
      <c r="K16" s="70"/>
      <c r="L16" s="71"/>
      <c r="M16" s="71"/>
      <c r="N16" s="71"/>
      <c r="O16" s="71"/>
      <c r="P16" s="71"/>
      <c r="Q16" s="71"/>
    </row>
    <row r="17" spans="1:17" s="72" customFormat="1" x14ac:dyDescent="0.3">
      <c r="A17" s="70"/>
      <c r="B17" s="70"/>
      <c r="C17" s="70"/>
      <c r="D17" s="70"/>
      <c r="E17" s="70"/>
      <c r="F17" s="70"/>
      <c r="G17" s="70"/>
      <c r="H17" s="70"/>
      <c r="I17" s="70"/>
      <c r="J17" s="70"/>
      <c r="K17" s="70"/>
      <c r="L17" s="71"/>
      <c r="M17" s="71"/>
      <c r="N17" s="71"/>
      <c r="O17" s="71"/>
      <c r="P17" s="71"/>
      <c r="Q17" s="71"/>
    </row>
    <row r="18" spans="1:17" s="72" customFormat="1" x14ac:dyDescent="0.3">
      <c r="A18" s="70"/>
      <c r="B18" s="70"/>
      <c r="C18" s="70"/>
      <c r="D18" s="70"/>
      <c r="E18" s="70"/>
      <c r="F18" s="70"/>
      <c r="G18" s="70"/>
      <c r="H18" s="70"/>
      <c r="I18" s="70"/>
      <c r="J18" s="70"/>
      <c r="K18" s="70"/>
      <c r="L18" s="71"/>
      <c r="M18" s="71"/>
      <c r="N18" s="71"/>
      <c r="O18" s="71"/>
      <c r="P18" s="71"/>
      <c r="Q18" s="71"/>
    </row>
    <row r="19" spans="1:17" s="72" customFormat="1" x14ac:dyDescent="0.3">
      <c r="A19" s="70"/>
      <c r="B19" s="70"/>
      <c r="C19" s="70"/>
      <c r="D19" s="70"/>
      <c r="E19" s="70"/>
      <c r="F19" s="70"/>
      <c r="G19" s="70"/>
      <c r="H19" s="70"/>
      <c r="I19" s="70"/>
      <c r="J19" s="70"/>
      <c r="K19" s="70"/>
      <c r="L19" s="71"/>
      <c r="M19" s="71"/>
      <c r="N19" s="71"/>
      <c r="O19" s="71"/>
      <c r="P19" s="71"/>
      <c r="Q19" s="71"/>
    </row>
    <row r="20" spans="1:17" s="72" customFormat="1" x14ac:dyDescent="0.3">
      <c r="A20" s="70"/>
      <c r="B20" s="70"/>
      <c r="C20" s="70"/>
      <c r="D20" s="70"/>
      <c r="E20" s="70"/>
      <c r="F20" s="70"/>
      <c r="G20" s="70"/>
      <c r="H20" s="70"/>
      <c r="I20" s="70"/>
      <c r="J20" s="70"/>
      <c r="K20" s="70"/>
      <c r="L20" s="71"/>
      <c r="M20" s="71"/>
      <c r="N20" s="71"/>
      <c r="O20" s="71"/>
      <c r="P20" s="71"/>
      <c r="Q20" s="71"/>
    </row>
    <row r="21" spans="1:17" s="72" customFormat="1" x14ac:dyDescent="0.3">
      <c r="A21" s="70"/>
      <c r="B21" s="70"/>
      <c r="C21" s="70"/>
      <c r="D21" s="70"/>
      <c r="E21" s="70"/>
      <c r="F21" s="70"/>
      <c r="G21" s="70"/>
      <c r="H21" s="70"/>
      <c r="I21" s="70"/>
      <c r="J21" s="70"/>
      <c r="K21" s="70"/>
      <c r="L21" s="71"/>
      <c r="M21" s="71"/>
      <c r="N21" s="71"/>
      <c r="O21" s="71"/>
      <c r="P21" s="71"/>
      <c r="Q21" s="71"/>
    </row>
    <row r="22" spans="1:17" s="72" customFormat="1" x14ac:dyDescent="0.3">
      <c r="A22" s="70"/>
      <c r="B22" s="70"/>
      <c r="C22" s="70"/>
      <c r="D22" s="70"/>
      <c r="E22" s="70"/>
      <c r="F22" s="70"/>
      <c r="G22" s="70"/>
      <c r="H22" s="70"/>
      <c r="I22" s="70"/>
      <c r="J22" s="70"/>
      <c r="K22" s="70"/>
      <c r="L22" s="71"/>
      <c r="M22" s="71"/>
      <c r="N22" s="71"/>
      <c r="O22" s="71"/>
      <c r="P22" s="71"/>
      <c r="Q22" s="71"/>
    </row>
    <row r="23" spans="1:17" s="72" customFormat="1" x14ac:dyDescent="0.3">
      <c r="A23" s="70"/>
      <c r="B23" s="70"/>
      <c r="C23" s="70"/>
      <c r="D23" s="70"/>
      <c r="E23" s="70"/>
      <c r="F23" s="70"/>
      <c r="G23" s="70"/>
      <c r="H23" s="70"/>
      <c r="I23" s="70"/>
      <c r="J23" s="70"/>
      <c r="K23" s="70"/>
      <c r="L23" s="71"/>
      <c r="M23" s="71"/>
      <c r="N23" s="71"/>
      <c r="O23" s="71"/>
      <c r="P23" s="71"/>
      <c r="Q23" s="71"/>
    </row>
    <row r="24" spans="1:17" s="72" customFormat="1" x14ac:dyDescent="0.3">
      <c r="A24" s="70"/>
      <c r="B24" s="70"/>
      <c r="C24" s="70"/>
      <c r="D24" s="70"/>
      <c r="E24" s="70"/>
      <c r="F24" s="70"/>
      <c r="G24" s="70"/>
      <c r="H24" s="70"/>
      <c r="I24" s="70"/>
      <c r="J24" s="70"/>
      <c r="K24" s="70"/>
      <c r="L24" s="71"/>
      <c r="M24" s="71"/>
      <c r="N24" s="71"/>
      <c r="O24" s="71"/>
      <c r="P24" s="71"/>
      <c r="Q24" s="71"/>
    </row>
    <row r="25" spans="1:17" s="72" customFormat="1" x14ac:dyDescent="0.3">
      <c r="A25" s="70"/>
      <c r="B25" s="70"/>
      <c r="C25" s="70"/>
      <c r="D25" s="70"/>
      <c r="E25" s="70"/>
      <c r="F25" s="70"/>
      <c r="G25" s="70"/>
      <c r="H25" s="70"/>
      <c r="I25" s="70"/>
      <c r="J25" s="70"/>
      <c r="K25" s="70"/>
      <c r="L25" s="71"/>
      <c r="M25" s="71"/>
      <c r="N25" s="71"/>
      <c r="O25" s="71"/>
      <c r="P25" s="71"/>
      <c r="Q25" s="71"/>
    </row>
    <row r="26" spans="1:17" s="72" customFormat="1" x14ac:dyDescent="0.3">
      <c r="A26" s="70"/>
      <c r="B26" s="70"/>
      <c r="C26" s="70"/>
      <c r="D26" s="70"/>
      <c r="E26" s="70"/>
      <c r="F26" s="70"/>
      <c r="G26" s="70"/>
      <c r="H26" s="70"/>
      <c r="I26" s="70"/>
      <c r="J26" s="70"/>
      <c r="K26" s="70"/>
      <c r="L26" s="71"/>
      <c r="M26" s="71"/>
      <c r="N26" s="71"/>
      <c r="O26" s="71"/>
      <c r="P26" s="71"/>
      <c r="Q26" s="71"/>
    </row>
    <row r="27" spans="1:17" s="72" customFormat="1" x14ac:dyDescent="0.3">
      <c r="A27" s="70"/>
      <c r="B27" s="70"/>
      <c r="C27" s="70"/>
      <c r="D27" s="70"/>
      <c r="E27" s="70"/>
      <c r="F27" s="70"/>
      <c r="G27" s="70"/>
      <c r="H27" s="70"/>
      <c r="I27" s="70"/>
      <c r="J27" s="70"/>
      <c r="K27" s="70"/>
      <c r="L27" s="71"/>
      <c r="M27" s="71"/>
      <c r="N27" s="71"/>
      <c r="O27" s="71"/>
      <c r="P27" s="71"/>
      <c r="Q27" s="71"/>
    </row>
    <row r="28" spans="1:17" s="72" customFormat="1" x14ac:dyDescent="0.3">
      <c r="A28" s="70"/>
      <c r="B28" s="70"/>
      <c r="C28" s="70"/>
      <c r="D28" s="70"/>
      <c r="E28" s="70"/>
      <c r="F28" s="70"/>
      <c r="G28" s="70"/>
      <c r="H28" s="70"/>
      <c r="I28" s="70"/>
      <c r="J28" s="70"/>
      <c r="K28" s="70"/>
      <c r="L28" s="71"/>
      <c r="M28" s="71"/>
      <c r="N28" s="71"/>
      <c r="O28" s="71"/>
      <c r="P28" s="71"/>
      <c r="Q28" s="71"/>
    </row>
    <row r="29" spans="1:17" s="72" customFormat="1" x14ac:dyDescent="0.3">
      <c r="A29" s="70"/>
      <c r="B29" s="70"/>
      <c r="C29" s="70"/>
      <c r="D29" s="70"/>
      <c r="E29" s="70"/>
      <c r="F29" s="70"/>
      <c r="G29" s="70"/>
      <c r="H29" s="70"/>
      <c r="I29" s="70"/>
      <c r="J29" s="70"/>
      <c r="K29" s="70"/>
      <c r="L29" s="71"/>
      <c r="M29" s="71"/>
      <c r="N29" s="71"/>
      <c r="O29" s="71"/>
      <c r="P29" s="71"/>
      <c r="Q29" s="71"/>
    </row>
    <row r="30" spans="1:17" s="72" customFormat="1" x14ac:dyDescent="0.3">
      <c r="A30" s="70"/>
      <c r="B30" s="70"/>
      <c r="C30" s="70"/>
      <c r="D30" s="70"/>
      <c r="E30" s="70"/>
      <c r="F30" s="70"/>
      <c r="G30" s="70"/>
      <c r="H30" s="70"/>
      <c r="I30" s="70"/>
      <c r="J30" s="70"/>
      <c r="K30" s="70"/>
      <c r="L30" s="71"/>
      <c r="M30" s="71"/>
      <c r="N30" s="71"/>
      <c r="O30" s="71"/>
      <c r="P30" s="71"/>
      <c r="Q30" s="71"/>
    </row>
    <row r="31" spans="1:17" s="72" customFormat="1" x14ac:dyDescent="0.3">
      <c r="A31" s="70"/>
      <c r="B31" s="70"/>
      <c r="C31" s="70"/>
      <c r="D31" s="70"/>
      <c r="E31" s="70"/>
      <c r="F31" s="70"/>
      <c r="G31" s="70"/>
      <c r="H31" s="70"/>
      <c r="I31" s="70"/>
      <c r="J31" s="70"/>
      <c r="K31" s="70"/>
      <c r="L31" s="71"/>
      <c r="M31" s="71"/>
      <c r="N31" s="71"/>
      <c r="O31" s="71"/>
      <c r="P31" s="71"/>
      <c r="Q31" s="71"/>
    </row>
    <row r="32" spans="1:17" s="72" customFormat="1" x14ac:dyDescent="0.3">
      <c r="A32" s="70"/>
      <c r="B32" s="70"/>
      <c r="C32" s="70"/>
      <c r="D32" s="70"/>
      <c r="E32" s="70"/>
      <c r="F32" s="70"/>
      <c r="G32" s="70"/>
      <c r="H32" s="70"/>
      <c r="I32" s="70"/>
      <c r="J32" s="70"/>
      <c r="K32" s="70"/>
      <c r="L32" s="71"/>
      <c r="M32" s="71"/>
      <c r="N32" s="71"/>
      <c r="O32" s="71"/>
      <c r="P32" s="71"/>
      <c r="Q32" s="71"/>
    </row>
    <row r="33" spans="1:18" s="72" customFormat="1" x14ac:dyDescent="0.3">
      <c r="A33" s="70"/>
      <c r="B33" s="70"/>
      <c r="C33" s="70"/>
      <c r="D33" s="70"/>
      <c r="E33" s="70"/>
      <c r="F33" s="70"/>
      <c r="G33" s="70"/>
      <c r="H33" s="70"/>
      <c r="I33" s="70"/>
      <c r="J33" s="70"/>
      <c r="K33" s="70"/>
      <c r="L33" s="71"/>
      <c r="M33" s="71"/>
      <c r="N33" s="71"/>
      <c r="O33" s="71"/>
      <c r="P33" s="71"/>
      <c r="Q33" s="71"/>
    </row>
    <row r="34" spans="1:18" s="72" customFormat="1" x14ac:dyDescent="0.3">
      <c r="A34" s="70"/>
      <c r="B34" s="70"/>
      <c r="C34" s="70"/>
      <c r="D34" s="70"/>
      <c r="E34" s="70"/>
      <c r="F34" s="70"/>
      <c r="G34" s="70"/>
      <c r="H34" s="70"/>
      <c r="I34" s="70"/>
      <c r="J34" s="70"/>
      <c r="K34" s="70"/>
      <c r="L34" s="71"/>
      <c r="M34" s="71"/>
      <c r="N34" s="71"/>
      <c r="O34" s="71"/>
      <c r="P34" s="71"/>
      <c r="Q34" s="71"/>
    </row>
    <row r="35" spans="1:18" s="72" customFormat="1" x14ac:dyDescent="0.3">
      <c r="A35" s="70"/>
      <c r="B35" s="70"/>
      <c r="C35" s="70"/>
      <c r="D35" s="70"/>
      <c r="E35" s="70"/>
      <c r="F35" s="70"/>
      <c r="G35" s="70"/>
      <c r="H35" s="70"/>
      <c r="I35" s="70"/>
      <c r="J35" s="70"/>
      <c r="K35" s="70"/>
      <c r="L35" s="71"/>
      <c r="M35" s="71"/>
      <c r="N35" s="71"/>
      <c r="O35" s="71"/>
      <c r="P35" s="71"/>
      <c r="Q35" s="71"/>
    </row>
    <row r="36" spans="1:18" s="72" customFormat="1" x14ac:dyDescent="0.3">
      <c r="A36" s="70"/>
      <c r="B36" s="70"/>
      <c r="C36" s="70"/>
      <c r="D36" s="70"/>
      <c r="E36" s="70"/>
      <c r="F36" s="70"/>
      <c r="G36" s="70"/>
      <c r="H36" s="70"/>
      <c r="I36" s="70"/>
      <c r="J36" s="70"/>
      <c r="K36" s="70"/>
      <c r="L36" s="71"/>
      <c r="M36" s="71"/>
      <c r="N36" s="71"/>
      <c r="O36" s="71"/>
      <c r="P36" s="71"/>
      <c r="Q36" s="71"/>
    </row>
    <row r="37" spans="1:18" x14ac:dyDescent="0.3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6"/>
      <c r="M37" s="66"/>
      <c r="N37" s="66"/>
      <c r="O37" s="66"/>
      <c r="P37" s="66"/>
      <c r="Q37" s="66"/>
      <c r="R37" s="65"/>
    </row>
    <row r="38" spans="1:18" x14ac:dyDescent="0.3">
      <c r="A38" s="62"/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3"/>
      <c r="M38" s="63"/>
      <c r="N38" s="63"/>
      <c r="O38" s="63"/>
      <c r="P38" s="63"/>
      <c r="Q38" s="63"/>
    </row>
    <row r="39" spans="1:18" ht="18" x14ac:dyDescent="0.35">
      <c r="B39" s="1" t="s">
        <v>0</v>
      </c>
      <c r="C39" s="188">
        <v>2102012</v>
      </c>
      <c r="D39" s="188"/>
      <c r="F39" s="1" t="s">
        <v>1</v>
      </c>
      <c r="G39" s="215" t="s">
        <v>594</v>
      </c>
      <c r="H39" s="215"/>
      <c r="J39" s="1" t="s">
        <v>2</v>
      </c>
      <c r="K39" s="236" t="s">
        <v>3</v>
      </c>
      <c r="L39" s="236"/>
      <c r="N39" s="193" t="s">
        <v>6</v>
      </c>
      <c r="O39" s="197"/>
      <c r="P39" s="189">
        <v>44527</v>
      </c>
      <c r="Q39" s="190"/>
    </row>
    <row r="40" spans="1:18" ht="18" x14ac:dyDescent="0.35">
      <c r="B40" s="1"/>
      <c r="C40" s="74"/>
      <c r="D40" s="74"/>
      <c r="E40" s="72"/>
      <c r="F40" s="75"/>
      <c r="G40" s="76"/>
      <c r="H40" s="76"/>
      <c r="I40" s="72"/>
      <c r="J40" s="75"/>
      <c r="K40" s="55"/>
      <c r="L40" s="55"/>
      <c r="M40" s="72"/>
      <c r="N40" s="77"/>
      <c r="O40" s="78"/>
      <c r="P40" s="79"/>
      <c r="Q40" s="79"/>
    </row>
    <row r="41" spans="1:18" ht="18" x14ac:dyDescent="0.35">
      <c r="B41" s="1"/>
      <c r="C41" s="74"/>
      <c r="D41" s="74"/>
      <c r="E41" s="72"/>
      <c r="F41" s="75"/>
      <c r="G41" s="76"/>
      <c r="H41" s="76"/>
      <c r="I41" s="72"/>
      <c r="J41" s="75"/>
      <c r="K41" s="55"/>
      <c r="L41" s="55"/>
      <c r="M41" s="72"/>
      <c r="N41" s="193" t="s">
        <v>611</v>
      </c>
      <c r="O41" s="197"/>
      <c r="P41" s="189">
        <v>44527</v>
      </c>
      <c r="Q41" s="190"/>
    </row>
    <row r="44" spans="1:18" ht="19.8" customHeight="1" x14ac:dyDescent="0.3">
      <c r="B44" s="237" t="s">
        <v>7</v>
      </c>
      <c r="C44" s="237"/>
      <c r="D44" s="237"/>
      <c r="E44" s="237"/>
      <c r="F44" s="237"/>
      <c r="G44" s="237"/>
      <c r="H44" s="237"/>
      <c r="I44" s="237"/>
      <c r="J44" s="237"/>
      <c r="K44" s="237"/>
      <c r="L44" s="237"/>
      <c r="M44" s="237"/>
      <c r="N44" s="237"/>
      <c r="O44" s="237"/>
      <c r="P44" s="237"/>
      <c r="Q44" s="237"/>
      <c r="R44" s="25"/>
    </row>
    <row r="46" spans="1:18" ht="14.4" customHeight="1" x14ac:dyDescent="0.3">
      <c r="B46" s="1" t="s">
        <v>8</v>
      </c>
      <c r="C46" s="194" t="s">
        <v>612</v>
      </c>
      <c r="D46" s="195"/>
      <c r="E46" s="195"/>
      <c r="F46" s="195"/>
      <c r="G46" s="195"/>
      <c r="H46" s="195"/>
      <c r="I46" s="195"/>
      <c r="J46" s="195"/>
      <c r="K46" s="195"/>
      <c r="L46" s="196"/>
    </row>
    <row r="47" spans="1:18" ht="14.4" customHeight="1" x14ac:dyDescent="0.3">
      <c r="C47" s="26"/>
      <c r="F47" s="4"/>
    </row>
    <row r="48" spans="1:18" ht="18" x14ac:dyDescent="0.3">
      <c r="B48" s="61" t="s">
        <v>9</v>
      </c>
      <c r="C48" s="61"/>
      <c r="D48" s="67" t="s">
        <v>17</v>
      </c>
      <c r="G48" s="193" t="s">
        <v>10</v>
      </c>
      <c r="H48" s="197"/>
      <c r="I48" s="205">
        <v>25545525</v>
      </c>
      <c r="J48" s="206"/>
      <c r="K48" s="206"/>
      <c r="L48" s="207"/>
    </row>
    <row r="49" spans="1:19" ht="19.2" customHeight="1" x14ac:dyDescent="0.3">
      <c r="B49" s="61"/>
      <c r="C49" s="61"/>
      <c r="F49" s="47"/>
      <c r="G49" s="49"/>
      <c r="H49" s="73"/>
      <c r="I49" s="73"/>
      <c r="J49" s="73"/>
      <c r="K49" s="73"/>
    </row>
    <row r="50" spans="1:19" ht="19.2" customHeight="1" x14ac:dyDescent="0.3">
      <c r="B50" s="61" t="s">
        <v>613</v>
      </c>
      <c r="C50" s="194" t="s">
        <v>614</v>
      </c>
      <c r="D50" s="195"/>
      <c r="E50" s="195"/>
      <c r="F50" s="195"/>
      <c r="G50" s="195"/>
      <c r="H50" s="195"/>
      <c r="I50" s="195"/>
      <c r="J50" s="195"/>
      <c r="K50" s="195"/>
      <c r="L50" s="196"/>
    </row>
    <row r="52" spans="1:19" ht="14.4" customHeight="1" x14ac:dyDescent="0.3">
      <c r="A52" s="239"/>
      <c r="B52" s="239"/>
      <c r="C52" s="239"/>
      <c r="D52" s="239"/>
      <c r="E52" s="239"/>
      <c r="F52" s="239"/>
      <c r="G52" s="239"/>
      <c r="H52" s="239"/>
      <c r="I52" s="239"/>
      <c r="J52" s="239"/>
      <c r="K52" s="239"/>
      <c r="L52" s="239"/>
      <c r="M52" s="239"/>
      <c r="N52" s="239"/>
      <c r="O52" s="239"/>
      <c r="P52" s="239"/>
      <c r="Q52" s="239"/>
      <c r="R52" s="239"/>
      <c r="S52" s="68"/>
    </row>
    <row r="53" spans="1:19" ht="14.4" customHeight="1" x14ac:dyDescent="0.3">
      <c r="A53" s="238" t="s">
        <v>15</v>
      </c>
      <c r="B53" s="238"/>
      <c r="C53" s="238"/>
      <c r="D53" s="238"/>
      <c r="E53" s="238"/>
      <c r="F53" s="238"/>
      <c r="G53" s="238"/>
      <c r="H53" s="238"/>
      <c r="I53" s="238"/>
      <c r="J53" s="238"/>
      <c r="K53" s="238"/>
      <c r="L53" s="238"/>
      <c r="M53" s="238"/>
      <c r="N53" s="238"/>
      <c r="O53" s="238"/>
      <c r="P53" s="238"/>
      <c r="Q53" s="238"/>
      <c r="R53" s="238"/>
      <c r="S53" s="68"/>
    </row>
    <row r="54" spans="1:19" ht="17.399999999999999" x14ac:dyDescent="0.3">
      <c r="A54" s="238" t="s">
        <v>616</v>
      </c>
      <c r="B54" s="238"/>
      <c r="C54" s="238"/>
      <c r="D54" s="238"/>
      <c r="E54" s="238"/>
      <c r="F54" s="238"/>
      <c r="G54" s="238"/>
      <c r="H54" s="238"/>
      <c r="I54" s="238"/>
      <c r="J54" s="238"/>
      <c r="K54" s="238"/>
      <c r="L54" s="238"/>
      <c r="M54" s="238"/>
      <c r="N54" s="238"/>
      <c r="O54" s="238"/>
      <c r="P54" s="238"/>
      <c r="Q54" s="238"/>
      <c r="R54" s="238"/>
      <c r="S54" s="68"/>
    </row>
    <row r="56" spans="1:19" ht="17.399999999999999" x14ac:dyDescent="0.3">
      <c r="B56" s="237" t="s">
        <v>23</v>
      </c>
      <c r="C56" s="237"/>
      <c r="D56" s="237"/>
      <c r="E56" s="237"/>
      <c r="F56" s="237"/>
      <c r="G56" s="237"/>
      <c r="H56" s="237"/>
      <c r="I56" s="237"/>
      <c r="J56" s="237"/>
      <c r="K56" s="237"/>
      <c r="L56" s="237"/>
      <c r="M56" s="237"/>
      <c r="N56" s="237"/>
      <c r="O56" s="237"/>
      <c r="P56" s="237"/>
      <c r="Q56" s="237"/>
      <c r="R56" s="25"/>
    </row>
    <row r="58" spans="1:19" ht="18" x14ac:dyDescent="0.3">
      <c r="B58" s="1" t="s">
        <v>12</v>
      </c>
      <c r="C58" s="191"/>
      <c r="D58" s="198"/>
      <c r="E58" s="198"/>
      <c r="F58" s="198"/>
      <c r="G58" s="198"/>
      <c r="H58" s="198"/>
      <c r="I58" s="192"/>
      <c r="K58" s="208" t="s">
        <v>9</v>
      </c>
      <c r="L58" s="209"/>
      <c r="M58" s="40" t="s">
        <v>17</v>
      </c>
      <c r="O58" s="1" t="s">
        <v>21</v>
      </c>
      <c r="P58" s="205">
        <v>322225256</v>
      </c>
      <c r="Q58" s="207"/>
    </row>
    <row r="60" spans="1:19" ht="17.399999999999999" x14ac:dyDescent="0.3">
      <c r="B60" s="1" t="s">
        <v>11</v>
      </c>
      <c r="C60" s="202" t="s">
        <v>597</v>
      </c>
      <c r="D60" s="203"/>
      <c r="E60" s="203"/>
      <c r="F60" s="203"/>
      <c r="G60" s="203"/>
      <c r="H60" s="203"/>
      <c r="I60" s="204"/>
      <c r="K60" s="193" t="s">
        <v>10</v>
      </c>
      <c r="L60" s="197"/>
      <c r="M60" s="240">
        <v>25545854858966</v>
      </c>
      <c r="N60" s="241"/>
      <c r="O60" s="241"/>
      <c r="P60" s="241"/>
      <c r="Q60" s="242"/>
    </row>
    <row r="62" spans="1:19" ht="17.399999999999999" x14ac:dyDescent="0.3">
      <c r="B62" s="237" t="s">
        <v>24</v>
      </c>
      <c r="C62" s="237"/>
      <c r="D62" s="237"/>
      <c r="E62" s="237"/>
      <c r="F62" s="237"/>
      <c r="G62" s="237"/>
      <c r="H62" s="237"/>
      <c r="I62" s="237"/>
      <c r="J62" s="237"/>
      <c r="K62" s="237"/>
      <c r="L62" s="237"/>
      <c r="M62" s="237"/>
      <c r="N62" s="237"/>
      <c r="O62" s="237"/>
      <c r="P62" s="237"/>
      <c r="Q62" s="237"/>
      <c r="R62" s="25"/>
    </row>
    <row r="64" spans="1:19" ht="18" x14ac:dyDescent="0.3">
      <c r="B64" s="193" t="s">
        <v>22</v>
      </c>
      <c r="C64" s="197"/>
      <c r="D64" s="191" t="s">
        <v>605</v>
      </c>
      <c r="E64" s="198"/>
      <c r="F64" s="198"/>
      <c r="G64" s="198"/>
      <c r="H64" s="198"/>
      <c r="I64" s="198"/>
      <c r="J64" s="198"/>
      <c r="K64" s="198"/>
      <c r="L64" s="198"/>
      <c r="M64" s="198"/>
      <c r="N64" s="198"/>
      <c r="O64" s="198"/>
      <c r="P64" s="198"/>
      <c r="Q64" s="192"/>
    </row>
    <row r="66" spans="2:18" ht="18" x14ac:dyDescent="0.3">
      <c r="B66" s="208" t="s">
        <v>9</v>
      </c>
      <c r="C66" s="209"/>
      <c r="D66" s="41" t="s">
        <v>17</v>
      </c>
      <c r="F66" s="193" t="s">
        <v>10</v>
      </c>
      <c r="G66" s="197"/>
      <c r="H66" s="199">
        <v>28358449</v>
      </c>
      <c r="I66" s="200"/>
      <c r="J66" s="200"/>
      <c r="K66" s="200"/>
      <c r="L66" s="200"/>
      <c r="M66" s="200"/>
      <c r="N66" s="200"/>
      <c r="O66" s="200"/>
      <c r="P66" s="200"/>
      <c r="Q66" s="201"/>
    </row>
    <row r="69" spans="2:18" ht="17.399999999999999" x14ac:dyDescent="0.3">
      <c r="B69" s="237" t="s">
        <v>25</v>
      </c>
      <c r="C69" s="237"/>
      <c r="D69" s="237"/>
      <c r="E69" s="237"/>
      <c r="F69" s="237"/>
      <c r="G69" s="237"/>
      <c r="H69" s="237"/>
      <c r="I69" s="237"/>
      <c r="J69" s="237"/>
      <c r="K69" s="237"/>
      <c r="L69" s="237"/>
      <c r="M69" s="237"/>
      <c r="N69" s="237"/>
      <c r="O69" s="237"/>
      <c r="P69" s="237"/>
      <c r="Q69" s="237"/>
      <c r="R69" s="25"/>
    </row>
    <row r="71" spans="2:18" ht="18" x14ac:dyDescent="0.3">
      <c r="B71" s="1" t="s">
        <v>26</v>
      </c>
      <c r="D71" s="191" t="s">
        <v>28</v>
      </c>
      <c r="E71" s="192"/>
      <c r="G71" s="1" t="s">
        <v>27</v>
      </c>
      <c r="I71" s="191" t="s">
        <v>606</v>
      </c>
      <c r="J71" s="192"/>
      <c r="L71" s="193" t="s">
        <v>595</v>
      </c>
      <c r="M71" s="193"/>
      <c r="N71" s="191" t="s">
        <v>71</v>
      </c>
      <c r="O71" s="192"/>
    </row>
    <row r="73" spans="2:18" ht="18" x14ac:dyDescent="0.3">
      <c r="B73" s="193" t="s">
        <v>68</v>
      </c>
      <c r="C73" s="193"/>
      <c r="D73" s="191" t="s">
        <v>48</v>
      </c>
      <c r="E73" s="192"/>
      <c r="G73" s="1" t="s">
        <v>268</v>
      </c>
      <c r="I73" s="191" t="s">
        <v>593</v>
      </c>
      <c r="J73" s="192"/>
      <c r="L73" s="193" t="s">
        <v>285</v>
      </c>
      <c r="M73" s="193"/>
      <c r="N73" s="229" t="s">
        <v>286</v>
      </c>
      <c r="O73" s="231"/>
    </row>
    <row r="75" spans="2:18" ht="14.4" customHeight="1" x14ac:dyDescent="0.3">
      <c r="B75" s="193" t="s">
        <v>283</v>
      </c>
      <c r="C75" s="193"/>
      <c r="D75" s="191" t="s">
        <v>271</v>
      </c>
      <c r="E75" s="192"/>
      <c r="G75" s="232" t="s">
        <v>596</v>
      </c>
      <c r="H75" s="233"/>
      <c r="I75" s="234" t="s">
        <v>75</v>
      </c>
      <c r="J75" s="235"/>
    </row>
    <row r="77" spans="2:18" ht="17.399999999999999" x14ac:dyDescent="0.3">
      <c r="B77" s="193" t="s">
        <v>284</v>
      </c>
      <c r="C77" s="193"/>
      <c r="D77" s="226" t="s">
        <v>607</v>
      </c>
      <c r="E77" s="227"/>
      <c r="F77" s="227"/>
      <c r="G77" s="227"/>
      <c r="H77" s="227"/>
      <c r="I77" s="227"/>
      <c r="J77" s="227"/>
      <c r="K77" s="227"/>
      <c r="L77" s="227"/>
      <c r="M77" s="227"/>
      <c r="N77" s="227"/>
      <c r="O77" s="228"/>
    </row>
    <row r="79" spans="2:18" ht="18" x14ac:dyDescent="0.3">
      <c r="B79" s="193" t="s">
        <v>289</v>
      </c>
      <c r="C79" s="193"/>
      <c r="D79" s="229" t="s">
        <v>608</v>
      </c>
      <c r="E79" s="230"/>
      <c r="F79" s="230"/>
      <c r="G79" s="230"/>
      <c r="H79" s="230"/>
      <c r="I79" s="230"/>
      <c r="J79" s="230"/>
      <c r="K79" s="230"/>
      <c r="L79" s="230"/>
      <c r="M79" s="230"/>
      <c r="N79" s="230"/>
      <c r="O79" s="231"/>
    </row>
    <row r="81" spans="2:17" ht="14.4" customHeight="1" x14ac:dyDescent="0.3">
      <c r="B81" s="216" t="s">
        <v>290</v>
      </c>
      <c r="D81" s="217"/>
      <c r="E81" s="218"/>
      <c r="F81" s="218"/>
      <c r="G81" s="218"/>
      <c r="H81" s="218"/>
      <c r="I81" s="218"/>
      <c r="J81" s="218"/>
      <c r="K81" s="218"/>
      <c r="L81" s="218"/>
      <c r="M81" s="218"/>
      <c r="N81" s="218"/>
      <c r="O81" s="218"/>
      <c r="P81" s="218"/>
      <c r="Q81" s="219"/>
    </row>
    <row r="82" spans="2:17" ht="17.399999999999999" customHeight="1" x14ac:dyDescent="0.3">
      <c r="B82" s="216"/>
      <c r="D82" s="220"/>
      <c r="E82" s="221"/>
      <c r="F82" s="221"/>
      <c r="G82" s="221"/>
      <c r="H82" s="221"/>
      <c r="I82" s="221"/>
      <c r="J82" s="221"/>
      <c r="K82" s="221"/>
      <c r="L82" s="221"/>
      <c r="M82" s="221"/>
      <c r="N82" s="221"/>
      <c r="O82" s="221"/>
      <c r="P82" s="221"/>
      <c r="Q82" s="222"/>
    </row>
    <row r="83" spans="2:17" ht="15.6" customHeight="1" x14ac:dyDescent="0.3">
      <c r="B83" s="216"/>
      <c r="D83" s="220"/>
      <c r="E83" s="221"/>
      <c r="F83" s="221"/>
      <c r="G83" s="221"/>
      <c r="H83" s="221"/>
      <c r="I83" s="221"/>
      <c r="J83" s="221"/>
      <c r="K83" s="221"/>
      <c r="L83" s="221"/>
      <c r="M83" s="221"/>
      <c r="N83" s="221"/>
      <c r="O83" s="221"/>
      <c r="P83" s="221"/>
      <c r="Q83" s="222"/>
    </row>
    <row r="84" spans="2:17" ht="17.399999999999999" customHeight="1" x14ac:dyDescent="0.3">
      <c r="B84" s="216"/>
      <c r="D84" s="220"/>
      <c r="E84" s="221"/>
      <c r="F84" s="221"/>
      <c r="G84" s="221"/>
      <c r="H84" s="221"/>
      <c r="I84" s="221"/>
      <c r="J84" s="221"/>
      <c r="K84" s="221"/>
      <c r="L84" s="221"/>
      <c r="M84" s="221"/>
      <c r="N84" s="221"/>
      <c r="O84" s="221"/>
      <c r="P84" s="221"/>
      <c r="Q84" s="222"/>
    </row>
    <row r="85" spans="2:17" ht="17.399999999999999" customHeight="1" x14ac:dyDescent="0.3">
      <c r="B85" s="216"/>
      <c r="D85" s="220"/>
      <c r="E85" s="221"/>
      <c r="F85" s="221"/>
      <c r="G85" s="221"/>
      <c r="H85" s="221"/>
      <c r="I85" s="221"/>
      <c r="J85" s="221"/>
      <c r="K85" s="221"/>
      <c r="L85" s="221"/>
      <c r="M85" s="221"/>
      <c r="N85" s="221"/>
      <c r="O85" s="221"/>
      <c r="P85" s="221"/>
      <c r="Q85" s="222"/>
    </row>
    <row r="86" spans="2:17" ht="14.4" customHeight="1" x14ac:dyDescent="0.3">
      <c r="D86" s="220"/>
      <c r="E86" s="221"/>
      <c r="F86" s="221"/>
      <c r="G86" s="221"/>
      <c r="H86" s="221"/>
      <c r="I86" s="221"/>
      <c r="J86" s="221"/>
      <c r="K86" s="221"/>
      <c r="L86" s="221"/>
      <c r="M86" s="221"/>
      <c r="N86" s="221"/>
      <c r="O86" s="221"/>
      <c r="P86" s="221"/>
      <c r="Q86" s="222"/>
    </row>
    <row r="87" spans="2:17" ht="14.4" customHeight="1" x14ac:dyDescent="0.3">
      <c r="D87" s="220"/>
      <c r="E87" s="221"/>
      <c r="F87" s="221"/>
      <c r="G87" s="221"/>
      <c r="H87" s="221"/>
      <c r="I87" s="221"/>
      <c r="J87" s="221"/>
      <c r="K87" s="221"/>
      <c r="L87" s="221"/>
      <c r="M87" s="221"/>
      <c r="N87" s="221"/>
      <c r="O87" s="221"/>
      <c r="P87" s="221"/>
      <c r="Q87" s="222"/>
    </row>
    <row r="88" spans="2:17" ht="14.4" customHeight="1" x14ac:dyDescent="0.3">
      <c r="D88" s="220"/>
      <c r="E88" s="221"/>
      <c r="F88" s="221"/>
      <c r="G88" s="221"/>
      <c r="H88" s="221"/>
      <c r="I88" s="221"/>
      <c r="J88" s="221"/>
      <c r="K88" s="221"/>
      <c r="L88" s="221"/>
      <c r="M88" s="221"/>
      <c r="N88" s="221"/>
      <c r="O88" s="221"/>
      <c r="P88" s="221"/>
      <c r="Q88" s="222"/>
    </row>
    <row r="89" spans="2:17" ht="14.4" customHeight="1" x14ac:dyDescent="0.3">
      <c r="D89" s="220"/>
      <c r="E89" s="221"/>
      <c r="F89" s="221"/>
      <c r="G89" s="221"/>
      <c r="H89" s="221"/>
      <c r="I89" s="221"/>
      <c r="J89" s="221"/>
      <c r="K89" s="221"/>
      <c r="L89" s="221"/>
      <c r="M89" s="221"/>
      <c r="N89" s="221"/>
      <c r="O89" s="221"/>
      <c r="P89" s="221"/>
      <c r="Q89" s="222"/>
    </row>
    <row r="90" spans="2:17" ht="14.4" customHeight="1" x14ac:dyDescent="0.3">
      <c r="D90" s="220"/>
      <c r="E90" s="221"/>
      <c r="F90" s="221"/>
      <c r="G90" s="221"/>
      <c r="H90" s="221"/>
      <c r="I90" s="221"/>
      <c r="J90" s="221"/>
      <c r="K90" s="221"/>
      <c r="L90" s="221"/>
      <c r="M90" s="221"/>
      <c r="N90" s="221"/>
      <c r="O90" s="221"/>
      <c r="P90" s="221"/>
      <c r="Q90" s="222"/>
    </row>
    <row r="91" spans="2:17" ht="14.4" customHeight="1" x14ac:dyDescent="0.3">
      <c r="D91" s="220"/>
      <c r="E91" s="221"/>
      <c r="F91" s="221"/>
      <c r="G91" s="221"/>
      <c r="H91" s="221"/>
      <c r="I91" s="221"/>
      <c r="J91" s="221"/>
      <c r="K91" s="221"/>
      <c r="L91" s="221"/>
      <c r="M91" s="221"/>
      <c r="N91" s="221"/>
      <c r="O91" s="221"/>
      <c r="P91" s="221"/>
      <c r="Q91" s="222"/>
    </row>
    <row r="92" spans="2:17" ht="14.4" customHeight="1" x14ac:dyDescent="0.3">
      <c r="D92" s="220"/>
      <c r="E92" s="221"/>
      <c r="F92" s="221"/>
      <c r="G92" s="221"/>
      <c r="H92" s="221"/>
      <c r="I92" s="221"/>
      <c r="J92" s="221"/>
      <c r="K92" s="221"/>
      <c r="L92" s="221"/>
      <c r="M92" s="221"/>
      <c r="N92" s="221"/>
      <c r="O92" s="221"/>
      <c r="P92" s="221"/>
      <c r="Q92" s="222"/>
    </row>
    <row r="93" spans="2:17" ht="14.4" customHeight="1" x14ac:dyDescent="0.3">
      <c r="D93" s="220"/>
      <c r="E93" s="221"/>
      <c r="F93" s="221"/>
      <c r="G93" s="221"/>
      <c r="H93" s="221"/>
      <c r="I93" s="221"/>
      <c r="J93" s="221"/>
      <c r="K93" s="221"/>
      <c r="L93" s="221"/>
      <c r="M93" s="221"/>
      <c r="N93" s="221"/>
      <c r="O93" s="221"/>
      <c r="P93" s="221"/>
      <c r="Q93" s="222"/>
    </row>
    <row r="94" spans="2:17" ht="14.4" customHeight="1" x14ac:dyDescent="0.3">
      <c r="D94" s="220"/>
      <c r="E94" s="221"/>
      <c r="F94" s="221"/>
      <c r="G94" s="221"/>
      <c r="H94" s="221"/>
      <c r="I94" s="221"/>
      <c r="J94" s="221"/>
      <c r="K94" s="221"/>
      <c r="L94" s="221"/>
      <c r="M94" s="221"/>
      <c r="N94" s="221"/>
      <c r="O94" s="221"/>
      <c r="P94" s="221"/>
      <c r="Q94" s="222"/>
    </row>
    <row r="95" spans="2:17" ht="14.4" customHeight="1" x14ac:dyDescent="0.3">
      <c r="D95" s="220"/>
      <c r="E95" s="221"/>
      <c r="F95" s="221"/>
      <c r="G95" s="221"/>
      <c r="H95" s="221"/>
      <c r="I95" s="221"/>
      <c r="J95" s="221"/>
      <c r="K95" s="221"/>
      <c r="L95" s="221"/>
      <c r="M95" s="221"/>
      <c r="N95" s="221"/>
      <c r="O95" s="221"/>
      <c r="P95" s="221"/>
      <c r="Q95" s="222"/>
    </row>
    <row r="96" spans="2:17" ht="14.4" customHeight="1" x14ac:dyDescent="0.3">
      <c r="D96" s="220"/>
      <c r="E96" s="221"/>
      <c r="F96" s="221"/>
      <c r="G96" s="221"/>
      <c r="H96" s="221"/>
      <c r="I96" s="221"/>
      <c r="J96" s="221"/>
      <c r="K96" s="221"/>
      <c r="L96" s="221"/>
      <c r="M96" s="221"/>
      <c r="N96" s="221"/>
      <c r="O96" s="221"/>
      <c r="P96" s="221"/>
      <c r="Q96" s="222"/>
    </row>
    <row r="97" spans="4:17" ht="14.4" customHeight="1" x14ac:dyDescent="0.3">
      <c r="D97" s="220"/>
      <c r="E97" s="221"/>
      <c r="F97" s="221"/>
      <c r="G97" s="221"/>
      <c r="H97" s="221"/>
      <c r="I97" s="221"/>
      <c r="J97" s="221"/>
      <c r="K97" s="221"/>
      <c r="L97" s="221"/>
      <c r="M97" s="221"/>
      <c r="N97" s="221"/>
      <c r="O97" s="221"/>
      <c r="P97" s="221"/>
      <c r="Q97" s="222"/>
    </row>
    <row r="98" spans="4:17" ht="14.4" customHeight="1" x14ac:dyDescent="0.3">
      <c r="D98" s="220"/>
      <c r="E98" s="221"/>
      <c r="F98" s="221"/>
      <c r="G98" s="221"/>
      <c r="H98" s="221"/>
      <c r="I98" s="221"/>
      <c r="J98" s="221"/>
      <c r="K98" s="221"/>
      <c r="L98" s="221"/>
      <c r="M98" s="221"/>
      <c r="N98" s="221"/>
      <c r="O98" s="221"/>
      <c r="P98" s="221"/>
      <c r="Q98" s="222"/>
    </row>
    <row r="99" spans="4:17" ht="14.4" customHeight="1" x14ac:dyDescent="0.3">
      <c r="D99" s="223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5"/>
    </row>
    <row r="126" ht="15.6" customHeight="1" x14ac:dyDescent="0.3"/>
    <row r="132" ht="14.4" customHeight="1" x14ac:dyDescent="0.3"/>
    <row r="133" ht="14.4" customHeight="1" x14ac:dyDescent="0.3"/>
    <row r="134" ht="14.4" customHeight="1" x14ac:dyDescent="0.3"/>
    <row r="135" ht="0.6" customHeight="1" x14ac:dyDescent="0.3"/>
  </sheetData>
  <mergeCells count="57">
    <mergeCell ref="K39:L39"/>
    <mergeCell ref="B69:Q69"/>
    <mergeCell ref="P41:Q41"/>
    <mergeCell ref="N39:O39"/>
    <mergeCell ref="N41:O41"/>
    <mergeCell ref="B56:Q56"/>
    <mergeCell ref="B62:Q62"/>
    <mergeCell ref="B44:Q44"/>
    <mergeCell ref="A53:R53"/>
    <mergeCell ref="A52:R52"/>
    <mergeCell ref="A54:R54"/>
    <mergeCell ref="K60:L60"/>
    <mergeCell ref="C58:I58"/>
    <mergeCell ref="M60:Q60"/>
    <mergeCell ref="P58:Q58"/>
    <mergeCell ref="K58:L58"/>
    <mergeCell ref="G39:H39"/>
    <mergeCell ref="B81:B85"/>
    <mergeCell ref="B77:C77"/>
    <mergeCell ref="B79:C79"/>
    <mergeCell ref="L73:M73"/>
    <mergeCell ref="B73:C73"/>
    <mergeCell ref="D73:E73"/>
    <mergeCell ref="D81:Q99"/>
    <mergeCell ref="D77:O77"/>
    <mergeCell ref="D79:O79"/>
    <mergeCell ref="G75:H75"/>
    <mergeCell ref="I75:J75"/>
    <mergeCell ref="B75:C75"/>
    <mergeCell ref="D75:E75"/>
    <mergeCell ref="I73:J73"/>
    <mergeCell ref="N73:O73"/>
    <mergeCell ref="O1:R1"/>
    <mergeCell ref="O2:R2"/>
    <mergeCell ref="O3:R3"/>
    <mergeCell ref="O4:R4"/>
    <mergeCell ref="B7:R7"/>
    <mergeCell ref="A4:K4"/>
    <mergeCell ref="A5:K5"/>
    <mergeCell ref="A1:J2"/>
    <mergeCell ref="A3:F3"/>
    <mergeCell ref="C39:D39"/>
    <mergeCell ref="P39:Q39"/>
    <mergeCell ref="I71:J71"/>
    <mergeCell ref="L71:M71"/>
    <mergeCell ref="C50:L50"/>
    <mergeCell ref="F66:G66"/>
    <mergeCell ref="B64:C64"/>
    <mergeCell ref="D64:Q64"/>
    <mergeCell ref="H66:Q66"/>
    <mergeCell ref="C60:I60"/>
    <mergeCell ref="G48:H48"/>
    <mergeCell ref="C46:L46"/>
    <mergeCell ref="I48:L48"/>
    <mergeCell ref="B66:C66"/>
    <mergeCell ref="N71:O71"/>
    <mergeCell ref="D71:E71"/>
  </mergeCells>
  <dataValidations count="8">
    <dataValidation type="list" showInputMessage="1" showErrorMessage="1" sqref="K39:L41" xr:uid="{51E72017-3328-4738-A62B-00E22177CDD4}">
      <formula1>Tipo</formula1>
    </dataValidation>
    <dataValidation type="list" showInputMessage="1" showErrorMessage="1" sqref="D66 M58 D48" xr:uid="{7F596ED0-103E-4228-BFEA-FA18B83A0518}">
      <formula1>TipCed</formula1>
    </dataValidation>
    <dataValidation type="list" allowBlank="1" showInputMessage="1" showErrorMessage="1" sqref="D71" xr:uid="{04D57340-DBF2-4186-A879-D7A27F4434FB}">
      <formula1>Sector</formula1>
    </dataValidation>
    <dataValidation type="list" allowBlank="1" showInputMessage="1" showErrorMessage="1" sqref="N71:O71" xr:uid="{BF3E10AE-A090-47D3-B428-5984FB6861D2}">
      <formula1>Condiciones</formula1>
    </dataValidation>
    <dataValidation type="list" showInputMessage="1" showErrorMessage="1" sqref="D73:E73" xr:uid="{1B823AA4-1DA7-4243-8310-79B5027F992C}">
      <formula1>Dep</formula1>
    </dataValidation>
    <dataValidation type="list" allowBlank="1" showInputMessage="1" showErrorMessage="1" sqref="D75:E75" xr:uid="{B934AA82-BE45-4C52-B11B-7D92E4142D66}">
      <formula1>TipInm</formula1>
    </dataValidation>
    <dataValidation type="list" showInputMessage="1" showErrorMessage="1" sqref="I75" xr:uid="{65FF7539-C64A-45E4-8405-BF91C7ED8E77}">
      <formula1>Condicional</formula1>
    </dataValidation>
    <dataValidation type="list" allowBlank="1" showInputMessage="1" showErrorMessage="1" sqref="N73:O73" xr:uid="{AD21D394-AE0D-4447-A05D-EC7B8CF42A03}">
      <formula1>Ocupante</formula1>
    </dataValidation>
  </dataValidations>
  <hyperlinks>
    <hyperlink ref="C60" r:id="rId1" xr:uid="{8AD2FDE0-43FE-4D66-8B83-DDDE10035E61}"/>
  </hyperlinks>
  <printOptions horizontalCentered="1"/>
  <pageMargins left="0.70866141732283472" right="0.70866141732283472" top="0.74803149606299213" bottom="0.74803149606299213" header="0.31496062992125984" footer="0.31496062992125984"/>
  <pageSetup scale="60" fitToHeight="2" orientation="landscape" r:id="rId2"/>
  <rowBreaks count="1" manualBreakCount="1">
    <brk id="51" max="17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5D5C0-6E23-4EA6-A223-98C18A94DC57}">
  <sheetPr codeName="Hoja3">
    <tabColor theme="0"/>
    <pageSetUpPr fitToPage="1"/>
  </sheetPr>
  <dimension ref="A1:T107"/>
  <sheetViews>
    <sheetView showGridLines="0" zoomScaleNormal="100" zoomScaleSheetLayoutView="55" workbookViewId="0">
      <pane ySplit="3" topLeftCell="A4" activePane="bottomLeft" state="frozen"/>
      <selection activeCell="R45" sqref="K25:R45"/>
      <selection pane="bottomLeft" activeCell="D9" sqref="D9:R18"/>
    </sheetView>
  </sheetViews>
  <sheetFormatPr baseColWidth="10" defaultRowHeight="14.4" x14ac:dyDescent="0.3"/>
  <cols>
    <col min="1" max="1" width="2.5546875" customWidth="1"/>
    <col min="3" max="3" width="11.33203125" customWidth="1"/>
    <col min="16" max="16" width="13.88671875" customWidth="1"/>
    <col min="18" max="18" width="9.21875" customWidth="1"/>
    <col min="19" max="19" width="7.88671875" customWidth="1"/>
    <col min="20" max="20" width="12.109375" customWidth="1"/>
  </cols>
  <sheetData>
    <row r="1" spans="1:20" ht="14.4" customHeight="1" x14ac:dyDescent="0.3">
      <c r="A1" s="238"/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  <c r="S1" s="238"/>
      <c r="T1" s="12"/>
    </row>
    <row r="2" spans="1:20" ht="14.4" customHeight="1" x14ac:dyDescent="0.3">
      <c r="A2" s="238" t="s">
        <v>15</v>
      </c>
      <c r="B2" s="238"/>
      <c r="C2" s="238"/>
      <c r="D2" s="238"/>
      <c r="E2" s="238"/>
      <c r="F2" s="238"/>
      <c r="G2" s="238"/>
      <c r="H2" s="238"/>
      <c r="I2" s="238"/>
      <c r="J2" s="238"/>
      <c r="K2" s="238"/>
      <c r="L2" s="238"/>
      <c r="M2" s="238"/>
      <c r="N2" s="238"/>
      <c r="O2" s="238"/>
      <c r="P2" s="238"/>
      <c r="Q2" s="238"/>
      <c r="R2" s="238"/>
      <c r="S2" s="238"/>
      <c r="T2" s="12"/>
    </row>
    <row r="3" spans="1:20" ht="14.4" customHeight="1" x14ac:dyDescent="0.3">
      <c r="A3" s="238" t="s">
        <v>616</v>
      </c>
      <c r="B3" s="238"/>
      <c r="C3" s="238"/>
      <c r="D3" s="238"/>
      <c r="E3" s="238"/>
      <c r="F3" s="238"/>
      <c r="G3" s="238"/>
      <c r="H3" s="238"/>
      <c r="I3" s="238"/>
      <c r="J3" s="238"/>
      <c r="K3" s="238"/>
      <c r="L3" s="238"/>
      <c r="M3" s="238"/>
      <c r="N3" s="238"/>
      <c r="O3" s="238"/>
      <c r="P3" s="238"/>
      <c r="Q3" s="238"/>
      <c r="R3" s="238"/>
      <c r="S3" s="238"/>
      <c r="T3" s="12"/>
    </row>
    <row r="5" spans="1:20" ht="18" x14ac:dyDescent="0.35">
      <c r="B5" s="193" t="s">
        <v>291</v>
      </c>
      <c r="C5" s="197"/>
      <c r="D5" s="191"/>
      <c r="E5" s="192"/>
      <c r="G5" s="10" t="s">
        <v>300</v>
      </c>
      <c r="H5" s="250"/>
      <c r="I5" s="251"/>
      <c r="K5" s="10" t="s">
        <v>322</v>
      </c>
      <c r="L5" s="10"/>
      <c r="M5" s="37"/>
      <c r="N5" s="11"/>
      <c r="S5" s="26"/>
    </row>
    <row r="7" spans="1:20" ht="18" x14ac:dyDescent="0.35">
      <c r="B7" s="193" t="s">
        <v>301</v>
      </c>
      <c r="C7" s="197"/>
      <c r="D7" s="252"/>
      <c r="E7" s="253"/>
      <c r="G7" s="10" t="s">
        <v>300</v>
      </c>
      <c r="H7" s="250"/>
      <c r="I7" s="251"/>
      <c r="K7" s="193" t="s">
        <v>323</v>
      </c>
      <c r="L7" s="193"/>
      <c r="M7" s="255"/>
      <c r="N7" s="255"/>
      <c r="O7" s="255"/>
    </row>
    <row r="8" spans="1:20" ht="14.4" customHeight="1" x14ac:dyDescent="0.3"/>
    <row r="9" spans="1:20" ht="17.399999999999999" customHeight="1" x14ac:dyDescent="0.3">
      <c r="B9" s="247" t="s">
        <v>324</v>
      </c>
      <c r="C9" s="248"/>
      <c r="D9" s="217"/>
      <c r="E9" s="218"/>
      <c r="F9" s="218"/>
      <c r="G9" s="218"/>
      <c r="H9" s="218"/>
      <c r="I9" s="218"/>
      <c r="J9" s="218"/>
      <c r="K9" s="218"/>
      <c r="L9" s="218"/>
      <c r="M9" s="218"/>
      <c r="N9" s="218"/>
      <c r="O9" s="218"/>
      <c r="P9" s="218"/>
      <c r="Q9" s="218"/>
      <c r="R9" s="219"/>
    </row>
    <row r="10" spans="1:20" ht="17.399999999999999" customHeight="1" x14ac:dyDescent="0.3">
      <c r="B10" s="247"/>
      <c r="C10" s="248"/>
      <c r="D10" s="220"/>
      <c r="E10" s="221"/>
      <c r="F10" s="221"/>
      <c r="G10" s="221"/>
      <c r="H10" s="221"/>
      <c r="I10" s="221"/>
      <c r="J10" s="221"/>
      <c r="K10" s="221"/>
      <c r="L10" s="221"/>
      <c r="M10" s="221"/>
      <c r="N10" s="221"/>
      <c r="O10" s="221"/>
      <c r="P10" s="221"/>
      <c r="Q10" s="221"/>
      <c r="R10" s="222"/>
    </row>
    <row r="11" spans="1:20" ht="14.4" customHeight="1" x14ac:dyDescent="0.3">
      <c r="B11" s="247"/>
      <c r="C11" s="248"/>
      <c r="D11" s="220"/>
      <c r="E11" s="221"/>
      <c r="F11" s="221"/>
      <c r="G11" s="221"/>
      <c r="H11" s="221"/>
      <c r="I11" s="221"/>
      <c r="J11" s="221"/>
      <c r="K11" s="221"/>
      <c r="L11" s="221"/>
      <c r="M11" s="221"/>
      <c r="N11" s="221"/>
      <c r="O11" s="221"/>
      <c r="P11" s="221"/>
      <c r="Q11" s="221"/>
      <c r="R11" s="222"/>
    </row>
    <row r="12" spans="1:20" ht="14.4" customHeight="1" x14ac:dyDescent="0.3">
      <c r="D12" s="220"/>
      <c r="E12" s="221"/>
      <c r="F12" s="221"/>
      <c r="G12" s="221"/>
      <c r="H12" s="221"/>
      <c r="I12" s="221"/>
      <c r="J12" s="221"/>
      <c r="K12" s="221"/>
      <c r="L12" s="221"/>
      <c r="M12" s="221"/>
      <c r="N12" s="221"/>
      <c r="O12" s="221"/>
      <c r="P12" s="221"/>
      <c r="Q12" s="221"/>
      <c r="R12" s="222"/>
    </row>
    <row r="13" spans="1:20" ht="14.4" customHeight="1" x14ac:dyDescent="0.3">
      <c r="D13" s="220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1"/>
      <c r="P13" s="221"/>
      <c r="Q13" s="221"/>
      <c r="R13" s="222"/>
    </row>
    <row r="14" spans="1:20" ht="14.4" customHeight="1" x14ac:dyDescent="0.3">
      <c r="D14" s="220"/>
      <c r="E14" s="221"/>
      <c r="F14" s="221"/>
      <c r="G14" s="221"/>
      <c r="H14" s="221"/>
      <c r="I14" s="221"/>
      <c r="J14" s="221"/>
      <c r="K14" s="221"/>
      <c r="L14" s="221"/>
      <c r="M14" s="221"/>
      <c r="N14" s="221"/>
      <c r="O14" s="221"/>
      <c r="P14" s="221"/>
      <c r="Q14" s="221"/>
      <c r="R14" s="222"/>
    </row>
    <row r="15" spans="1:20" ht="14.4" customHeight="1" x14ac:dyDescent="0.3">
      <c r="D15" s="220"/>
      <c r="E15" s="221"/>
      <c r="F15" s="221"/>
      <c r="G15" s="221"/>
      <c r="H15" s="221"/>
      <c r="I15" s="221"/>
      <c r="J15" s="221"/>
      <c r="K15" s="221"/>
      <c r="L15" s="221"/>
      <c r="M15" s="221"/>
      <c r="N15" s="221"/>
      <c r="O15" s="221"/>
      <c r="P15" s="221"/>
      <c r="Q15" s="221"/>
      <c r="R15" s="222"/>
    </row>
    <row r="16" spans="1:20" ht="14.4" customHeight="1" x14ac:dyDescent="0.3">
      <c r="D16" s="220"/>
      <c r="E16" s="221"/>
      <c r="F16" s="221"/>
      <c r="G16" s="221"/>
      <c r="H16" s="221"/>
      <c r="I16" s="221"/>
      <c r="J16" s="221"/>
      <c r="K16" s="221"/>
      <c r="L16" s="221"/>
      <c r="M16" s="221"/>
      <c r="N16" s="221"/>
      <c r="O16" s="221"/>
      <c r="P16" s="221"/>
      <c r="Q16" s="221"/>
      <c r="R16" s="222"/>
    </row>
    <row r="17" spans="2:18" ht="14.4" customHeight="1" x14ac:dyDescent="0.3">
      <c r="D17" s="220"/>
      <c r="E17" s="221"/>
      <c r="F17" s="221"/>
      <c r="G17" s="221"/>
      <c r="H17" s="221"/>
      <c r="I17" s="221"/>
      <c r="J17" s="221"/>
      <c r="K17" s="221"/>
      <c r="L17" s="221"/>
      <c r="M17" s="221"/>
      <c r="N17" s="221"/>
      <c r="O17" s="221"/>
      <c r="P17" s="221"/>
      <c r="Q17" s="221"/>
      <c r="R17" s="222"/>
    </row>
    <row r="18" spans="2:18" x14ac:dyDescent="0.3">
      <c r="D18" s="223"/>
      <c r="E18" s="224"/>
      <c r="F18" s="224"/>
      <c r="G18" s="224"/>
      <c r="H18" s="224"/>
      <c r="I18" s="224"/>
      <c r="J18" s="224"/>
      <c r="K18" s="224"/>
      <c r="L18" s="224"/>
      <c r="M18" s="224"/>
      <c r="N18" s="224"/>
      <c r="O18" s="224"/>
      <c r="P18" s="224"/>
      <c r="Q18" s="224"/>
      <c r="R18" s="225"/>
    </row>
    <row r="20" spans="2:18" ht="18" x14ac:dyDescent="0.3">
      <c r="B20" s="193" t="s">
        <v>581</v>
      </c>
      <c r="C20" s="193"/>
      <c r="D20" s="254"/>
      <c r="E20" s="254"/>
      <c r="G20" s="10" t="s">
        <v>582</v>
      </c>
      <c r="H20" s="205"/>
      <c r="I20" s="207"/>
      <c r="K20" s="10" t="s">
        <v>583</v>
      </c>
      <c r="L20" s="205"/>
      <c r="M20" s="207"/>
      <c r="O20" s="193" t="s">
        <v>584</v>
      </c>
      <c r="P20" s="193"/>
      <c r="Q20" s="249"/>
      <c r="R20" s="249"/>
    </row>
    <row r="21" spans="2:18" ht="14.4" customHeight="1" x14ac:dyDescent="0.3"/>
    <row r="22" spans="2:18" ht="14.4" customHeight="1" x14ac:dyDescent="0.3"/>
    <row r="23" spans="2:18" ht="14.4" customHeight="1" x14ac:dyDescent="0.3">
      <c r="B23" s="245" t="s">
        <v>325</v>
      </c>
      <c r="C23" s="246"/>
      <c r="D23" s="217"/>
      <c r="E23" s="218"/>
      <c r="F23" s="218"/>
      <c r="G23" s="218"/>
      <c r="H23" s="218"/>
      <c r="I23" s="219"/>
      <c r="K23" s="247" t="s">
        <v>326</v>
      </c>
      <c r="L23" s="248"/>
      <c r="M23" s="217"/>
      <c r="N23" s="218"/>
      <c r="O23" s="218"/>
      <c r="P23" s="218"/>
      <c r="Q23" s="218"/>
      <c r="R23" s="219"/>
    </row>
    <row r="24" spans="2:18" ht="14.4" customHeight="1" x14ac:dyDescent="0.3">
      <c r="B24" s="245"/>
      <c r="C24" s="246"/>
      <c r="D24" s="220"/>
      <c r="E24" s="221"/>
      <c r="F24" s="221"/>
      <c r="G24" s="221"/>
      <c r="H24" s="221"/>
      <c r="I24" s="222"/>
      <c r="K24" s="247"/>
      <c r="L24" s="248"/>
      <c r="M24" s="220"/>
      <c r="N24" s="221"/>
      <c r="O24" s="221"/>
      <c r="P24" s="221"/>
      <c r="Q24" s="221"/>
      <c r="R24" s="222"/>
    </row>
    <row r="25" spans="2:18" ht="14.4" customHeight="1" x14ac:dyDescent="0.3">
      <c r="B25" s="245"/>
      <c r="C25" s="246"/>
      <c r="D25" s="220"/>
      <c r="E25" s="221"/>
      <c r="F25" s="221"/>
      <c r="G25" s="221"/>
      <c r="H25" s="221"/>
      <c r="I25" s="222"/>
      <c r="K25" s="247"/>
      <c r="L25" s="248"/>
      <c r="M25" s="220"/>
      <c r="N25" s="221"/>
      <c r="O25" s="221"/>
      <c r="P25" s="221"/>
      <c r="Q25" s="221"/>
      <c r="R25" s="222"/>
    </row>
    <row r="26" spans="2:18" ht="14.4" customHeight="1" x14ac:dyDescent="0.3">
      <c r="D26" s="220"/>
      <c r="E26" s="221"/>
      <c r="F26" s="221"/>
      <c r="G26" s="221"/>
      <c r="H26" s="221"/>
      <c r="I26" s="222"/>
      <c r="K26" s="13"/>
      <c r="L26" s="14"/>
      <c r="M26" s="220"/>
      <c r="N26" s="221"/>
      <c r="O26" s="221"/>
      <c r="P26" s="221"/>
      <c r="Q26" s="221"/>
      <c r="R26" s="222"/>
    </row>
    <row r="27" spans="2:18" ht="14.4" customHeight="1" x14ac:dyDescent="0.3">
      <c r="D27" s="220"/>
      <c r="E27" s="221"/>
      <c r="F27" s="221"/>
      <c r="G27" s="221"/>
      <c r="H27" s="221"/>
      <c r="I27" s="222"/>
      <c r="J27" s="11"/>
      <c r="M27" s="220"/>
      <c r="N27" s="221"/>
      <c r="O27" s="221"/>
      <c r="P27" s="221"/>
      <c r="Q27" s="221"/>
      <c r="R27" s="222"/>
    </row>
    <row r="28" spans="2:18" ht="14.4" customHeight="1" x14ac:dyDescent="0.3">
      <c r="D28" s="220"/>
      <c r="E28" s="221"/>
      <c r="F28" s="221"/>
      <c r="G28" s="221"/>
      <c r="H28" s="221"/>
      <c r="I28" s="222"/>
      <c r="J28" s="11"/>
      <c r="M28" s="220"/>
      <c r="N28" s="221"/>
      <c r="O28" s="221"/>
      <c r="P28" s="221"/>
      <c r="Q28" s="221"/>
      <c r="R28" s="222"/>
    </row>
    <row r="29" spans="2:18" ht="14.4" customHeight="1" x14ac:dyDescent="0.3">
      <c r="D29" s="220"/>
      <c r="E29" s="221"/>
      <c r="F29" s="221"/>
      <c r="G29" s="221"/>
      <c r="H29" s="221"/>
      <c r="I29" s="222"/>
      <c r="J29" s="11"/>
      <c r="M29" s="220"/>
      <c r="N29" s="221"/>
      <c r="O29" s="221"/>
      <c r="P29" s="221"/>
      <c r="Q29" s="221"/>
      <c r="R29" s="222"/>
    </row>
    <row r="30" spans="2:18" x14ac:dyDescent="0.3">
      <c r="D30" s="223"/>
      <c r="E30" s="224"/>
      <c r="F30" s="224"/>
      <c r="G30" s="224"/>
      <c r="H30" s="224"/>
      <c r="I30" s="225"/>
      <c r="J30" s="11"/>
      <c r="M30" s="223"/>
      <c r="N30" s="224"/>
      <c r="O30" s="224"/>
      <c r="P30" s="224"/>
      <c r="Q30" s="224"/>
      <c r="R30" s="225"/>
    </row>
    <row r="31" spans="2:18" x14ac:dyDescent="0.3">
      <c r="B31" s="245" t="s">
        <v>327</v>
      </c>
      <c r="C31" s="245"/>
    </row>
    <row r="32" spans="2:18" x14ac:dyDescent="0.3">
      <c r="B32" s="245"/>
      <c r="C32" s="245"/>
      <c r="D32" s="217"/>
      <c r="E32" s="218"/>
      <c r="F32" s="218"/>
      <c r="G32" s="218"/>
      <c r="H32" s="218"/>
      <c r="I32" s="218"/>
      <c r="J32" s="218"/>
      <c r="K32" s="218"/>
      <c r="L32" s="218"/>
      <c r="M32" s="218"/>
      <c r="N32" s="218"/>
      <c r="O32" s="218"/>
      <c r="P32" s="218"/>
      <c r="Q32" s="218"/>
      <c r="R32" s="219"/>
    </row>
    <row r="33" spans="2:18" ht="14.4" customHeight="1" x14ac:dyDescent="0.3">
      <c r="B33" s="245"/>
      <c r="C33" s="245"/>
      <c r="D33" s="220"/>
      <c r="E33" s="221"/>
      <c r="F33" s="221"/>
      <c r="G33" s="221"/>
      <c r="H33" s="221"/>
      <c r="I33" s="221"/>
      <c r="J33" s="221"/>
      <c r="K33" s="221"/>
      <c r="L33" s="221"/>
      <c r="M33" s="221"/>
      <c r="N33" s="221"/>
      <c r="O33" s="221"/>
      <c r="P33" s="221"/>
      <c r="Q33" s="221"/>
      <c r="R33" s="222"/>
    </row>
    <row r="34" spans="2:18" ht="14.4" customHeight="1" x14ac:dyDescent="0.3">
      <c r="D34" s="223"/>
      <c r="E34" s="224"/>
      <c r="F34" s="224"/>
      <c r="G34" s="224"/>
      <c r="H34" s="224"/>
      <c r="I34" s="224"/>
      <c r="J34" s="224"/>
      <c r="K34" s="224"/>
      <c r="L34" s="224"/>
      <c r="M34" s="224"/>
      <c r="N34" s="224"/>
      <c r="O34" s="224"/>
      <c r="P34" s="224"/>
      <c r="Q34" s="224"/>
      <c r="R34" s="225"/>
    </row>
    <row r="35" spans="2:18" ht="14.4" customHeight="1" x14ac:dyDescent="0.3">
      <c r="D35" s="82"/>
      <c r="E35" s="82"/>
      <c r="F35" s="82"/>
      <c r="G35" s="82"/>
      <c r="H35" s="82"/>
      <c r="I35" s="82"/>
    </row>
    <row r="36" spans="2:18" ht="14.4" customHeight="1" x14ac:dyDescent="0.3">
      <c r="D36" s="38"/>
      <c r="E36" s="38"/>
      <c r="F36" s="38"/>
      <c r="G36" s="38"/>
      <c r="H36" s="38"/>
      <c r="I36" s="38"/>
    </row>
    <row r="37" spans="2:18" ht="14.4" customHeight="1" x14ac:dyDescent="0.3">
      <c r="B37" s="237" t="s">
        <v>592</v>
      </c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37"/>
      <c r="O37" s="237"/>
      <c r="P37" s="237"/>
      <c r="Q37" s="237"/>
      <c r="R37" s="237"/>
    </row>
    <row r="38" spans="2:18" ht="14.4" customHeight="1" x14ac:dyDescent="0.3"/>
    <row r="39" spans="2:18" ht="14.4" customHeight="1" x14ac:dyDescent="0.3"/>
    <row r="40" spans="2:18" ht="14.4" customHeight="1" x14ac:dyDescent="0.3">
      <c r="B40" s="243" t="s">
        <v>328</v>
      </c>
      <c r="C40" s="243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4"/>
      <c r="P40" s="244"/>
      <c r="Q40" s="244"/>
      <c r="R40" s="244"/>
    </row>
    <row r="41" spans="2:18" ht="14.4" customHeight="1" x14ac:dyDescent="0.3">
      <c r="B41" s="243"/>
      <c r="C41" s="243"/>
      <c r="D41" s="244"/>
      <c r="E41" s="244"/>
      <c r="F41" s="244"/>
      <c r="G41" s="244"/>
      <c r="H41" s="244"/>
      <c r="I41" s="244"/>
      <c r="J41" s="244"/>
      <c r="K41" s="244"/>
      <c r="L41" s="244"/>
      <c r="M41" s="244"/>
      <c r="N41" s="244"/>
      <c r="O41" s="244"/>
      <c r="P41" s="244"/>
      <c r="Q41" s="244"/>
      <c r="R41" s="244"/>
    </row>
    <row r="42" spans="2:18" ht="17.399999999999999" x14ac:dyDescent="0.3">
      <c r="B42" s="13"/>
      <c r="C42" s="13"/>
      <c r="D42" s="244"/>
      <c r="E42" s="244"/>
      <c r="F42" s="244"/>
      <c r="G42" s="244"/>
      <c r="H42" s="244"/>
      <c r="I42" s="244"/>
      <c r="J42" s="244"/>
      <c r="K42" s="244"/>
      <c r="L42" s="244"/>
      <c r="M42" s="244"/>
      <c r="N42" s="244"/>
      <c r="O42" s="244"/>
      <c r="P42" s="244"/>
      <c r="Q42" s="244"/>
      <c r="R42" s="244"/>
    </row>
    <row r="43" spans="2:18" x14ac:dyDescent="0.3">
      <c r="D43" s="244"/>
      <c r="E43" s="244"/>
      <c r="F43" s="244"/>
      <c r="G43" s="244"/>
      <c r="H43" s="244"/>
      <c r="I43" s="244"/>
      <c r="J43" s="244"/>
      <c r="K43" s="244"/>
      <c r="L43" s="244"/>
      <c r="M43" s="244"/>
      <c r="N43" s="244"/>
      <c r="O43" s="244"/>
      <c r="P43" s="244"/>
      <c r="Q43" s="244"/>
      <c r="R43" s="244"/>
    </row>
    <row r="44" spans="2:18" x14ac:dyDescent="0.3">
      <c r="D44" s="244"/>
      <c r="E44" s="244"/>
      <c r="F44" s="244"/>
      <c r="G44" s="244"/>
      <c r="H44" s="244"/>
      <c r="I44" s="244"/>
      <c r="J44" s="244"/>
      <c r="K44" s="244"/>
      <c r="L44" s="244"/>
      <c r="M44" s="244"/>
      <c r="N44" s="244"/>
      <c r="O44" s="244"/>
      <c r="P44" s="244"/>
      <c r="Q44" s="244"/>
      <c r="R44" s="244"/>
    </row>
    <row r="45" spans="2:18" x14ac:dyDescent="0.3">
      <c r="D45" s="244"/>
      <c r="E45" s="244"/>
      <c r="F45" s="244"/>
      <c r="G45" s="244"/>
      <c r="H45" s="244"/>
      <c r="I45" s="244"/>
      <c r="J45" s="244"/>
      <c r="K45" s="244"/>
      <c r="L45" s="244"/>
      <c r="M45" s="244"/>
      <c r="N45" s="244"/>
      <c r="O45" s="244"/>
      <c r="P45" s="244"/>
      <c r="Q45" s="244"/>
      <c r="R45" s="244"/>
    </row>
    <row r="46" spans="2:18" x14ac:dyDescent="0.3">
      <c r="D46" s="244"/>
      <c r="E46" s="244"/>
      <c r="F46" s="244"/>
      <c r="G46" s="244"/>
      <c r="H46" s="244"/>
      <c r="I46" s="244"/>
      <c r="J46" s="244"/>
      <c r="K46" s="244"/>
      <c r="L46" s="244"/>
      <c r="M46" s="244"/>
      <c r="N46" s="244"/>
      <c r="O46" s="244"/>
      <c r="P46" s="244"/>
      <c r="Q46" s="244"/>
      <c r="R46" s="244"/>
    </row>
    <row r="47" spans="2:18" ht="17.399999999999999" customHeight="1" x14ac:dyDescent="0.3">
      <c r="D47" s="244"/>
      <c r="E47" s="244"/>
      <c r="F47" s="244"/>
      <c r="G47" s="244"/>
      <c r="H47" s="244"/>
      <c r="I47" s="244"/>
      <c r="J47" s="244"/>
      <c r="K47" s="244"/>
      <c r="L47" s="244"/>
      <c r="M47" s="244"/>
      <c r="N47" s="244"/>
      <c r="O47" s="244"/>
      <c r="P47" s="244"/>
      <c r="Q47" s="244"/>
      <c r="R47" s="244"/>
    </row>
    <row r="48" spans="2:18" ht="18" customHeight="1" x14ac:dyDescent="0.3">
      <c r="D48" s="244"/>
      <c r="E48" s="244"/>
      <c r="F48" s="244"/>
      <c r="G48" s="244"/>
      <c r="H48" s="244"/>
      <c r="I48" s="244"/>
      <c r="J48" s="244"/>
      <c r="K48" s="244"/>
      <c r="L48" s="244"/>
      <c r="M48" s="244"/>
      <c r="N48" s="244"/>
      <c r="O48" s="244"/>
      <c r="P48" s="244"/>
      <c r="Q48" s="244"/>
      <c r="R48" s="244"/>
    </row>
    <row r="49" spans="4:18" ht="14.4" customHeight="1" x14ac:dyDescent="0.3">
      <c r="D49" s="244"/>
      <c r="E49" s="244"/>
      <c r="F49" s="244"/>
      <c r="G49" s="244"/>
      <c r="H49" s="244"/>
      <c r="I49" s="244"/>
      <c r="J49" s="244"/>
      <c r="K49" s="244"/>
      <c r="L49" s="244"/>
      <c r="M49" s="244"/>
      <c r="N49" s="244"/>
      <c r="O49" s="244"/>
      <c r="P49" s="244"/>
      <c r="Q49" s="244"/>
      <c r="R49" s="244"/>
    </row>
    <row r="50" spans="4:18" ht="14.4" customHeight="1" x14ac:dyDescent="0.3">
      <c r="D50" s="244"/>
      <c r="E50" s="244"/>
      <c r="F50" s="244"/>
      <c r="G50" s="244"/>
      <c r="H50" s="244"/>
      <c r="I50" s="244"/>
      <c r="J50" s="244"/>
      <c r="K50" s="244"/>
      <c r="L50" s="244"/>
      <c r="M50" s="244"/>
      <c r="N50" s="244"/>
      <c r="O50" s="244"/>
      <c r="P50" s="244"/>
      <c r="Q50" s="244"/>
      <c r="R50" s="244"/>
    </row>
    <row r="51" spans="4:18" ht="14.4" customHeight="1" x14ac:dyDescent="0.3">
      <c r="D51" s="244"/>
      <c r="E51" s="244"/>
      <c r="F51" s="244"/>
      <c r="G51" s="244"/>
      <c r="H51" s="244"/>
      <c r="I51" s="244"/>
      <c r="J51" s="244"/>
      <c r="K51" s="244"/>
      <c r="L51" s="244"/>
      <c r="M51" s="244"/>
      <c r="N51" s="244"/>
      <c r="O51" s="244"/>
      <c r="P51" s="244"/>
      <c r="Q51" s="244"/>
      <c r="R51" s="244"/>
    </row>
    <row r="52" spans="4:18" ht="14.4" customHeight="1" x14ac:dyDescent="0.3">
      <c r="D52" s="244"/>
      <c r="E52" s="244"/>
      <c r="F52" s="244"/>
      <c r="G52" s="244"/>
      <c r="H52" s="244"/>
      <c r="I52" s="244"/>
      <c r="J52" s="244"/>
      <c r="K52" s="244"/>
      <c r="L52" s="244"/>
      <c r="M52" s="244"/>
      <c r="N52" s="244"/>
      <c r="O52" s="244"/>
      <c r="P52" s="244"/>
      <c r="Q52" s="244"/>
      <c r="R52" s="244"/>
    </row>
    <row r="53" spans="4:18" ht="14.4" customHeight="1" x14ac:dyDescent="0.3">
      <c r="D53" s="244"/>
      <c r="E53" s="244"/>
      <c r="F53" s="244"/>
      <c r="G53" s="244"/>
      <c r="H53" s="244"/>
      <c r="I53" s="244"/>
      <c r="J53" s="244"/>
      <c r="K53" s="244"/>
      <c r="L53" s="244"/>
      <c r="M53" s="244"/>
      <c r="N53" s="244"/>
      <c r="O53" s="244"/>
      <c r="P53" s="244"/>
      <c r="Q53" s="244"/>
      <c r="R53" s="244"/>
    </row>
    <row r="54" spans="4:18" ht="14.4" customHeight="1" x14ac:dyDescent="0.3">
      <c r="D54" s="244"/>
      <c r="E54" s="244"/>
      <c r="F54" s="244"/>
      <c r="G54" s="244"/>
      <c r="H54" s="244"/>
      <c r="I54" s="244"/>
      <c r="J54" s="244"/>
      <c r="K54" s="244"/>
      <c r="L54" s="244"/>
      <c r="M54" s="244"/>
      <c r="N54" s="244"/>
      <c r="O54" s="244"/>
      <c r="P54" s="244"/>
      <c r="Q54" s="244"/>
      <c r="R54" s="244"/>
    </row>
    <row r="55" spans="4:18" ht="17.399999999999999" customHeight="1" x14ac:dyDescent="0.3"/>
    <row r="56" spans="4:18" ht="14.4" customHeight="1" x14ac:dyDescent="0.3">
      <c r="D56" s="83"/>
      <c r="E56" s="83"/>
      <c r="F56" s="83"/>
      <c r="G56" s="83"/>
      <c r="H56" s="83"/>
      <c r="I56" s="83"/>
      <c r="J56" s="83"/>
      <c r="K56" s="83"/>
      <c r="L56" s="83"/>
      <c r="M56" s="83"/>
      <c r="N56" s="83"/>
      <c r="O56" s="83"/>
      <c r="P56" s="83"/>
      <c r="Q56" s="83"/>
      <c r="R56" s="83"/>
    </row>
    <row r="57" spans="4:18" ht="14.4" customHeight="1" x14ac:dyDescent="0.3">
      <c r="D57" s="83"/>
      <c r="E57" s="83"/>
      <c r="F57" s="83"/>
      <c r="G57" s="83"/>
      <c r="H57" s="83"/>
      <c r="I57" s="83"/>
      <c r="J57" s="83"/>
      <c r="K57" s="83"/>
      <c r="L57" s="83"/>
      <c r="M57" s="83"/>
      <c r="N57" s="83"/>
      <c r="O57" s="83"/>
      <c r="P57" s="83"/>
      <c r="Q57" s="83"/>
      <c r="R57" s="83"/>
    </row>
    <row r="58" spans="4:18" ht="14.4" customHeight="1" x14ac:dyDescent="0.3">
      <c r="D58" s="83"/>
      <c r="E58" s="83"/>
      <c r="F58" s="83"/>
      <c r="G58" s="83"/>
      <c r="H58" s="83"/>
      <c r="I58" s="83"/>
      <c r="J58" s="83"/>
      <c r="K58" s="83"/>
      <c r="L58" s="83"/>
      <c r="M58" s="83"/>
      <c r="N58" s="83"/>
      <c r="O58" s="83"/>
      <c r="P58" s="83"/>
      <c r="Q58" s="83"/>
      <c r="R58" s="83"/>
    </row>
    <row r="59" spans="4:18" ht="14.4" customHeight="1" x14ac:dyDescent="0.3">
      <c r="D59" s="83"/>
      <c r="E59" s="83"/>
      <c r="F59" s="83"/>
      <c r="G59" s="83"/>
      <c r="H59" s="83"/>
      <c r="I59" s="83"/>
      <c r="J59" s="83"/>
      <c r="K59" s="83"/>
      <c r="L59" s="83"/>
      <c r="M59" s="83"/>
      <c r="N59" s="83"/>
      <c r="O59" s="83"/>
      <c r="P59" s="83"/>
      <c r="Q59" s="83"/>
      <c r="R59" s="83"/>
    </row>
    <row r="60" spans="4:18" ht="14.4" customHeight="1" x14ac:dyDescent="0.3">
      <c r="D60" s="83"/>
      <c r="E60" s="83"/>
      <c r="F60" s="83"/>
      <c r="G60" s="83"/>
      <c r="H60" s="83"/>
      <c r="I60" s="83"/>
      <c r="J60" s="83"/>
      <c r="K60" s="83"/>
      <c r="L60" s="83"/>
      <c r="M60" s="83"/>
      <c r="N60" s="83"/>
      <c r="O60" s="83"/>
      <c r="P60" s="83"/>
      <c r="Q60" s="83"/>
      <c r="R60" s="83"/>
    </row>
    <row r="61" spans="4:18" ht="17.399999999999999" customHeight="1" x14ac:dyDescent="0.3">
      <c r="D61" s="83"/>
      <c r="E61" s="83"/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  <c r="R61" s="83"/>
    </row>
    <row r="62" spans="4:18" ht="14.4" customHeight="1" x14ac:dyDescent="0.3"/>
    <row r="63" spans="4:18" ht="14.4" customHeight="1" x14ac:dyDescent="0.3"/>
    <row r="66" ht="19.2" customHeight="1" x14ac:dyDescent="0.3"/>
    <row r="75" ht="17.399999999999999" customHeight="1" x14ac:dyDescent="0.3"/>
    <row r="89" ht="17.399999999999999" customHeight="1" x14ac:dyDescent="0.3"/>
    <row r="91" ht="14.4" customHeight="1" x14ac:dyDescent="0.3"/>
    <row r="94" ht="14.4" customHeight="1" x14ac:dyDescent="0.3"/>
    <row r="95" ht="14.4" customHeight="1" x14ac:dyDescent="0.3"/>
    <row r="98" ht="14.4" customHeight="1" x14ac:dyDescent="0.3"/>
    <row r="99" ht="14.4" customHeight="1" x14ac:dyDescent="0.3"/>
    <row r="100" ht="14.4" customHeight="1" x14ac:dyDescent="0.3"/>
    <row r="101" ht="14.4" customHeight="1" x14ac:dyDescent="0.3"/>
    <row r="102" ht="14.4" customHeight="1" x14ac:dyDescent="0.3"/>
    <row r="103" ht="14.4" customHeight="1" x14ac:dyDescent="0.3"/>
    <row r="104" ht="14.4" customHeight="1" x14ac:dyDescent="0.3"/>
    <row r="105" ht="14.4" customHeight="1" x14ac:dyDescent="0.3"/>
    <row r="106" ht="14.4" customHeight="1" x14ac:dyDescent="0.3"/>
    <row r="107" ht="14.4" customHeight="1" x14ac:dyDescent="0.3"/>
  </sheetData>
  <mergeCells count="28">
    <mergeCell ref="B7:C7"/>
    <mergeCell ref="D7:E7"/>
    <mergeCell ref="H7:I7"/>
    <mergeCell ref="B20:C20"/>
    <mergeCell ref="D20:E20"/>
    <mergeCell ref="H20:I20"/>
    <mergeCell ref="D9:R18"/>
    <mergeCell ref="L20:M20"/>
    <mergeCell ref="O20:P20"/>
    <mergeCell ref="K7:L7"/>
    <mergeCell ref="M7:O7"/>
    <mergeCell ref="B9:C11"/>
    <mergeCell ref="A1:S1"/>
    <mergeCell ref="A2:S2"/>
    <mergeCell ref="B37:R37"/>
    <mergeCell ref="B40:C41"/>
    <mergeCell ref="D40:R54"/>
    <mergeCell ref="D32:R34"/>
    <mergeCell ref="B23:C25"/>
    <mergeCell ref="D23:I30"/>
    <mergeCell ref="K23:L25"/>
    <mergeCell ref="M23:R30"/>
    <mergeCell ref="B31:C33"/>
    <mergeCell ref="A3:S3"/>
    <mergeCell ref="Q20:R20"/>
    <mergeCell ref="B5:C5"/>
    <mergeCell ref="D5:E5"/>
    <mergeCell ref="H5:I5"/>
  </mergeCells>
  <dataValidations disablePrompts="1" count="3">
    <dataValidation type="list" showInputMessage="1" showErrorMessage="1" sqref="D5:E5" xr:uid="{9F9C2836-26B5-4B93-82DB-B594A715D8DA}">
      <formula1>Uso</formula1>
    </dataValidation>
    <dataValidation type="list" allowBlank="1" showInputMessage="1" showErrorMessage="1" sqref="D7:E7" xr:uid="{A852FB0F-63C6-4AE5-A613-0FFB6AED93FB}">
      <formula1>ClaseInm</formula1>
    </dataValidation>
    <dataValidation type="list" allowBlank="1" showInputMessage="1" showErrorMessage="1" sqref="M7:O7" xr:uid="{BBB2E256-A3E6-4A49-8B65-BE910E4F6274}">
      <formula1>Metodo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scale="6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F4330-1B07-4228-809B-5200935F88CA}">
  <sheetPr codeName="Hoja11">
    <tabColor theme="0"/>
    <pageSetUpPr fitToPage="1"/>
  </sheetPr>
  <dimension ref="A1:S48"/>
  <sheetViews>
    <sheetView showGridLines="0" zoomScaleNormal="100" workbookViewId="0">
      <pane ySplit="3" topLeftCell="A25" activePane="bottomLeft" state="frozen"/>
      <selection activeCell="D37" sqref="D37:O45"/>
      <selection pane="bottomLeft" activeCell="E28" sqref="E28:N48"/>
    </sheetView>
  </sheetViews>
  <sheetFormatPr baseColWidth="10" defaultRowHeight="14.4" x14ac:dyDescent="0.3"/>
  <cols>
    <col min="1" max="1" width="1.5546875" customWidth="1"/>
    <col min="2" max="2" width="1.77734375" customWidth="1"/>
    <col min="6" max="6" width="15.33203125" bestFit="1" customWidth="1"/>
    <col min="7" max="7" width="23" bestFit="1" customWidth="1"/>
    <col min="8" max="8" width="17.109375" customWidth="1"/>
    <col min="9" max="9" width="31" customWidth="1"/>
    <col min="10" max="10" width="28.109375" customWidth="1"/>
    <col min="11" max="11" width="17.88671875" customWidth="1"/>
    <col min="12" max="12" width="13" customWidth="1"/>
    <col min="13" max="13" width="9.109375" customWidth="1"/>
    <col min="14" max="14" width="11.21875" customWidth="1"/>
    <col min="15" max="15" width="2.88671875" customWidth="1"/>
    <col min="16" max="16" width="6.5546875" customWidth="1"/>
    <col min="17" max="17" width="3.21875" customWidth="1"/>
    <col min="18" max="18" width="7.77734375" customWidth="1"/>
  </cols>
  <sheetData>
    <row r="1" spans="1:19" ht="14.4" customHeight="1" x14ac:dyDescent="0.3">
      <c r="A1" s="238"/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86"/>
      <c r="Q1" s="86"/>
      <c r="R1" s="86"/>
      <c r="S1" s="86"/>
    </row>
    <row r="2" spans="1:19" ht="14.4" customHeight="1" x14ac:dyDescent="0.3">
      <c r="A2" s="238" t="s">
        <v>15</v>
      </c>
      <c r="B2" s="238"/>
      <c r="C2" s="238"/>
      <c r="D2" s="238"/>
      <c r="E2" s="238"/>
      <c r="F2" s="238"/>
      <c r="G2" s="238"/>
      <c r="H2" s="238"/>
      <c r="I2" s="238"/>
      <c r="J2" s="238"/>
      <c r="K2" s="238"/>
      <c r="L2" s="238"/>
      <c r="M2" s="238"/>
      <c r="N2" s="238"/>
      <c r="O2" s="238"/>
      <c r="P2" s="86"/>
      <c r="Q2" s="86"/>
      <c r="R2" s="86"/>
      <c r="S2" s="86"/>
    </row>
    <row r="3" spans="1:19" ht="14.4" customHeight="1" x14ac:dyDescent="0.3">
      <c r="A3" s="238" t="s">
        <v>616</v>
      </c>
      <c r="B3" s="238"/>
      <c r="C3" s="238"/>
      <c r="D3" s="238"/>
      <c r="E3" s="238"/>
      <c r="F3" s="238"/>
      <c r="G3" s="238"/>
      <c r="H3" s="238"/>
      <c r="I3" s="238"/>
      <c r="J3" s="238"/>
      <c r="K3" s="238"/>
      <c r="L3" s="238"/>
      <c r="M3" s="238"/>
      <c r="N3" s="238"/>
      <c r="O3" s="238"/>
      <c r="P3" s="86"/>
      <c r="Q3" s="86"/>
      <c r="R3" s="86"/>
      <c r="S3" s="86"/>
    </row>
    <row r="5" spans="1:19" ht="17.399999999999999" x14ac:dyDescent="0.3">
      <c r="C5" s="237" t="s">
        <v>554</v>
      </c>
      <c r="D5" s="237"/>
      <c r="E5" s="237"/>
      <c r="F5" s="237"/>
      <c r="G5" s="237"/>
      <c r="H5" s="237"/>
      <c r="I5" s="237"/>
      <c r="J5" s="237"/>
      <c r="K5" s="237"/>
      <c r="L5" s="237"/>
      <c r="M5" s="237"/>
      <c r="N5" s="237"/>
      <c r="O5" s="25"/>
      <c r="P5" s="25"/>
      <c r="Q5" s="25"/>
    </row>
    <row r="7" spans="1:19" ht="18" x14ac:dyDescent="0.35">
      <c r="C7" s="28" t="s">
        <v>546</v>
      </c>
      <c r="D7" s="36"/>
      <c r="E7" s="268" t="s">
        <v>561</v>
      </c>
      <c r="F7" s="268"/>
      <c r="H7" s="16" t="s">
        <v>547</v>
      </c>
      <c r="I7" s="266"/>
      <c r="J7" s="267"/>
      <c r="L7" s="28" t="s">
        <v>548</v>
      </c>
      <c r="M7" s="271"/>
      <c r="N7" s="272"/>
      <c r="P7" s="28"/>
    </row>
    <row r="9" spans="1:19" ht="17.399999999999999" x14ac:dyDescent="0.3">
      <c r="C9" s="28" t="s">
        <v>549</v>
      </c>
      <c r="D9" s="27"/>
      <c r="E9" s="266"/>
      <c r="F9" s="267"/>
      <c r="H9" s="28" t="s">
        <v>329</v>
      </c>
      <c r="I9" s="189"/>
      <c r="J9" s="190"/>
      <c r="L9" s="28" t="s">
        <v>551</v>
      </c>
      <c r="M9" s="189"/>
      <c r="N9" s="190"/>
    </row>
    <row r="10" spans="1:19" x14ac:dyDescent="0.3">
      <c r="C10" s="21"/>
    </row>
    <row r="11" spans="1:19" ht="17.399999999999999" x14ac:dyDescent="0.3">
      <c r="C11" s="28" t="s">
        <v>550</v>
      </c>
      <c r="E11" s="269"/>
      <c r="F11" s="270"/>
    </row>
    <row r="16" spans="1:19" ht="17.399999999999999" x14ac:dyDescent="0.3">
      <c r="F16" s="22" t="s">
        <v>552</v>
      </c>
      <c r="G16" s="22" t="s">
        <v>553</v>
      </c>
      <c r="H16" s="22" t="s">
        <v>329</v>
      </c>
      <c r="I16" s="23" t="s">
        <v>551</v>
      </c>
      <c r="J16" s="22" t="s">
        <v>550</v>
      </c>
      <c r="K16" s="22" t="s">
        <v>548</v>
      </c>
    </row>
    <row r="17" spans="3:18" ht="15.6" x14ac:dyDescent="0.3">
      <c r="F17" s="30"/>
      <c r="G17" s="54"/>
      <c r="H17" s="54"/>
      <c r="I17" s="57"/>
      <c r="J17" s="57"/>
      <c r="K17" s="56"/>
    </row>
    <row r="20" spans="3:18" ht="17.399999999999999" x14ac:dyDescent="0.3">
      <c r="C20" s="237" t="s">
        <v>544</v>
      </c>
      <c r="D20" s="237"/>
      <c r="E20" s="237"/>
      <c r="F20" s="237"/>
      <c r="G20" s="237"/>
      <c r="H20" s="237"/>
      <c r="I20" s="237"/>
      <c r="J20" s="237"/>
      <c r="K20" s="237"/>
      <c r="L20" s="237"/>
      <c r="M20" s="237"/>
      <c r="N20" s="237"/>
      <c r="O20" s="25"/>
      <c r="P20" s="25"/>
      <c r="Q20" s="25"/>
      <c r="R20" s="25"/>
    </row>
    <row r="22" spans="3:18" ht="17.399999999999999" x14ac:dyDescent="0.3">
      <c r="G22" s="22" t="s">
        <v>545</v>
      </c>
      <c r="H22" s="22" t="s">
        <v>329</v>
      </c>
      <c r="I22" s="22" t="s">
        <v>330</v>
      </c>
      <c r="J22" s="23" t="s">
        <v>268</v>
      </c>
    </row>
    <row r="23" spans="3:18" ht="18" x14ac:dyDescent="0.35">
      <c r="G23" s="51"/>
      <c r="H23" s="52"/>
      <c r="I23" s="48"/>
      <c r="J23" s="50"/>
    </row>
    <row r="24" spans="3:18" ht="17.399999999999999" customHeight="1" x14ac:dyDescent="0.3">
      <c r="P24" s="26"/>
    </row>
    <row r="26" spans="3:18" ht="17.399999999999999" x14ac:dyDescent="0.3">
      <c r="C26" s="237" t="s">
        <v>555</v>
      </c>
      <c r="D26" s="237"/>
      <c r="E26" s="237"/>
      <c r="F26" s="237"/>
      <c r="G26" s="237"/>
      <c r="H26" s="237"/>
      <c r="I26" s="237"/>
      <c r="J26" s="237"/>
      <c r="K26" s="237"/>
      <c r="L26" s="237"/>
      <c r="M26" s="237"/>
      <c r="N26" s="237"/>
      <c r="O26" s="87"/>
      <c r="P26" s="87"/>
      <c r="Q26" s="87"/>
    </row>
    <row r="28" spans="3:18" ht="17.399999999999999" customHeight="1" x14ac:dyDescent="0.3">
      <c r="C28" s="256" t="s">
        <v>556</v>
      </c>
      <c r="D28" s="256"/>
      <c r="E28" s="257"/>
      <c r="F28" s="258"/>
      <c r="G28" s="258"/>
      <c r="H28" s="258"/>
      <c r="I28" s="258"/>
      <c r="J28" s="258"/>
      <c r="K28" s="258"/>
      <c r="L28" s="258"/>
      <c r="M28" s="258"/>
      <c r="N28" s="259"/>
    </row>
    <row r="29" spans="3:18" ht="17.399999999999999" x14ac:dyDescent="0.3">
      <c r="D29" s="29"/>
      <c r="E29" s="260"/>
      <c r="F29" s="261"/>
      <c r="G29" s="261"/>
      <c r="H29" s="261"/>
      <c r="I29" s="261"/>
      <c r="J29" s="261"/>
      <c r="K29" s="261"/>
      <c r="L29" s="261"/>
      <c r="M29" s="261"/>
      <c r="N29" s="262"/>
    </row>
    <row r="30" spans="3:18" x14ac:dyDescent="0.3">
      <c r="E30" s="260"/>
      <c r="F30" s="261"/>
      <c r="G30" s="261"/>
      <c r="H30" s="261"/>
      <c r="I30" s="261"/>
      <c r="J30" s="261"/>
      <c r="K30" s="261"/>
      <c r="L30" s="261"/>
      <c r="M30" s="261"/>
      <c r="N30" s="262"/>
    </row>
    <row r="31" spans="3:18" x14ac:dyDescent="0.3">
      <c r="E31" s="260"/>
      <c r="F31" s="261"/>
      <c r="G31" s="261"/>
      <c r="H31" s="261"/>
      <c r="I31" s="261"/>
      <c r="J31" s="261"/>
      <c r="K31" s="261"/>
      <c r="L31" s="261"/>
      <c r="M31" s="261"/>
      <c r="N31" s="262"/>
    </row>
    <row r="32" spans="3:18" x14ac:dyDescent="0.3">
      <c r="E32" s="260"/>
      <c r="F32" s="261"/>
      <c r="G32" s="261"/>
      <c r="H32" s="261"/>
      <c r="I32" s="261"/>
      <c r="J32" s="261"/>
      <c r="K32" s="261"/>
      <c r="L32" s="261"/>
      <c r="M32" s="261"/>
      <c r="N32" s="262"/>
    </row>
    <row r="33" spans="5:14" x14ac:dyDescent="0.3">
      <c r="E33" s="260"/>
      <c r="F33" s="261"/>
      <c r="G33" s="261"/>
      <c r="H33" s="261"/>
      <c r="I33" s="261"/>
      <c r="J33" s="261"/>
      <c r="K33" s="261"/>
      <c r="L33" s="261"/>
      <c r="M33" s="261"/>
      <c r="N33" s="262"/>
    </row>
    <row r="34" spans="5:14" x14ac:dyDescent="0.3">
      <c r="E34" s="260"/>
      <c r="F34" s="261"/>
      <c r="G34" s="261"/>
      <c r="H34" s="261"/>
      <c r="I34" s="261"/>
      <c r="J34" s="261"/>
      <c r="K34" s="261"/>
      <c r="L34" s="261"/>
      <c r="M34" s="261"/>
      <c r="N34" s="262"/>
    </row>
    <row r="35" spans="5:14" x14ac:dyDescent="0.3">
      <c r="E35" s="260"/>
      <c r="F35" s="261"/>
      <c r="G35" s="261"/>
      <c r="H35" s="261"/>
      <c r="I35" s="261"/>
      <c r="J35" s="261"/>
      <c r="K35" s="261"/>
      <c r="L35" s="261"/>
      <c r="M35" s="261"/>
      <c r="N35" s="262"/>
    </row>
    <row r="36" spans="5:14" x14ac:dyDescent="0.3">
      <c r="E36" s="260"/>
      <c r="F36" s="261"/>
      <c r="G36" s="261"/>
      <c r="H36" s="261"/>
      <c r="I36" s="261"/>
      <c r="J36" s="261"/>
      <c r="K36" s="261"/>
      <c r="L36" s="261"/>
      <c r="M36" s="261"/>
      <c r="N36" s="262"/>
    </row>
    <row r="37" spans="5:14" x14ac:dyDescent="0.3">
      <c r="E37" s="260"/>
      <c r="F37" s="261"/>
      <c r="G37" s="261"/>
      <c r="H37" s="261"/>
      <c r="I37" s="261"/>
      <c r="J37" s="261"/>
      <c r="K37" s="261"/>
      <c r="L37" s="261"/>
      <c r="M37" s="261"/>
      <c r="N37" s="262"/>
    </row>
    <row r="38" spans="5:14" x14ac:dyDescent="0.3">
      <c r="E38" s="260"/>
      <c r="F38" s="261"/>
      <c r="G38" s="261"/>
      <c r="H38" s="261"/>
      <c r="I38" s="261"/>
      <c r="J38" s="261"/>
      <c r="K38" s="261"/>
      <c r="L38" s="261"/>
      <c r="M38" s="261"/>
      <c r="N38" s="262"/>
    </row>
    <row r="39" spans="5:14" x14ac:dyDescent="0.3">
      <c r="E39" s="260"/>
      <c r="F39" s="261"/>
      <c r="G39" s="261"/>
      <c r="H39" s="261"/>
      <c r="I39" s="261"/>
      <c r="J39" s="261"/>
      <c r="K39" s="261"/>
      <c r="L39" s="261"/>
      <c r="M39" s="261"/>
      <c r="N39" s="262"/>
    </row>
    <row r="40" spans="5:14" x14ac:dyDescent="0.3">
      <c r="E40" s="260"/>
      <c r="F40" s="261"/>
      <c r="G40" s="261"/>
      <c r="H40" s="261"/>
      <c r="I40" s="261"/>
      <c r="J40" s="261"/>
      <c r="K40" s="261"/>
      <c r="L40" s="261"/>
      <c r="M40" s="261"/>
      <c r="N40" s="262"/>
    </row>
    <row r="41" spans="5:14" x14ac:dyDescent="0.3">
      <c r="E41" s="260"/>
      <c r="F41" s="261"/>
      <c r="G41" s="261"/>
      <c r="H41" s="261"/>
      <c r="I41" s="261"/>
      <c r="J41" s="261"/>
      <c r="K41" s="261"/>
      <c r="L41" s="261"/>
      <c r="M41" s="261"/>
      <c r="N41" s="262"/>
    </row>
    <row r="42" spans="5:14" x14ac:dyDescent="0.3">
      <c r="E42" s="260"/>
      <c r="F42" s="261"/>
      <c r="G42" s="261"/>
      <c r="H42" s="261"/>
      <c r="I42" s="261"/>
      <c r="J42" s="261"/>
      <c r="K42" s="261"/>
      <c r="L42" s="261"/>
      <c r="M42" s="261"/>
      <c r="N42" s="262"/>
    </row>
    <row r="43" spans="5:14" x14ac:dyDescent="0.3">
      <c r="E43" s="260"/>
      <c r="F43" s="261"/>
      <c r="G43" s="261"/>
      <c r="H43" s="261"/>
      <c r="I43" s="261"/>
      <c r="J43" s="261"/>
      <c r="K43" s="261"/>
      <c r="L43" s="261"/>
      <c r="M43" s="261"/>
      <c r="N43" s="262"/>
    </row>
    <row r="44" spans="5:14" x14ac:dyDescent="0.3">
      <c r="E44" s="260"/>
      <c r="F44" s="261"/>
      <c r="G44" s="261"/>
      <c r="H44" s="261"/>
      <c r="I44" s="261"/>
      <c r="J44" s="261"/>
      <c r="K44" s="261"/>
      <c r="L44" s="261"/>
      <c r="M44" s="261"/>
      <c r="N44" s="262"/>
    </row>
    <row r="45" spans="5:14" x14ac:dyDescent="0.3">
      <c r="E45" s="260"/>
      <c r="F45" s="261"/>
      <c r="G45" s="261"/>
      <c r="H45" s="261"/>
      <c r="I45" s="261"/>
      <c r="J45" s="261"/>
      <c r="K45" s="261"/>
      <c r="L45" s="261"/>
      <c r="M45" s="261"/>
      <c r="N45" s="262"/>
    </row>
    <row r="46" spans="5:14" x14ac:dyDescent="0.3">
      <c r="E46" s="260"/>
      <c r="F46" s="261"/>
      <c r="G46" s="261"/>
      <c r="H46" s="261"/>
      <c r="I46" s="261"/>
      <c r="J46" s="261"/>
      <c r="K46" s="261"/>
      <c r="L46" s="261"/>
      <c r="M46" s="261"/>
      <c r="N46" s="262"/>
    </row>
    <row r="47" spans="5:14" x14ac:dyDescent="0.3">
      <c r="E47" s="260"/>
      <c r="F47" s="261"/>
      <c r="G47" s="261"/>
      <c r="H47" s="261"/>
      <c r="I47" s="261"/>
      <c r="J47" s="261"/>
      <c r="K47" s="261"/>
      <c r="L47" s="261"/>
      <c r="M47" s="261"/>
      <c r="N47" s="262"/>
    </row>
    <row r="48" spans="5:14" x14ac:dyDescent="0.3">
      <c r="E48" s="263"/>
      <c r="F48" s="264"/>
      <c r="G48" s="264"/>
      <c r="H48" s="264"/>
      <c r="I48" s="264"/>
      <c r="J48" s="264"/>
      <c r="K48" s="264"/>
      <c r="L48" s="264"/>
      <c r="M48" s="264"/>
      <c r="N48" s="265"/>
    </row>
  </sheetData>
  <mergeCells count="15">
    <mergeCell ref="C26:N26"/>
    <mergeCell ref="A1:O1"/>
    <mergeCell ref="A2:O2"/>
    <mergeCell ref="A3:O3"/>
    <mergeCell ref="C28:D28"/>
    <mergeCell ref="E28:N48"/>
    <mergeCell ref="C5:N5"/>
    <mergeCell ref="C20:N20"/>
    <mergeCell ref="E9:F9"/>
    <mergeCell ref="E7:F7"/>
    <mergeCell ref="E11:F11"/>
    <mergeCell ref="I7:J7"/>
    <mergeCell ref="I9:J9"/>
    <mergeCell ref="M7:N7"/>
    <mergeCell ref="M9:N9"/>
  </mergeCells>
  <printOptions horizontalCentered="1"/>
  <pageMargins left="0.70866141732283472" right="0.70866141732283472" top="0.74803149606299213" bottom="0.74803149606299213" header="0.31496062992125984" footer="0.31496062992125984"/>
  <pageSetup scale="60" orientation="landscape" r:id="rId1"/>
  <drawing r:id="rId2"/>
  <tableParts count="2"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98923-46DA-479D-A254-ACC7FE9EBE68}">
  <sheetPr codeName="Hoja5">
    <tabColor theme="0"/>
    <pageSetUpPr fitToPage="1"/>
  </sheetPr>
  <dimension ref="A1:S47"/>
  <sheetViews>
    <sheetView showGridLines="0" zoomScaleNormal="100" workbookViewId="0">
      <selection activeCell="F15" sqref="F15:M16"/>
    </sheetView>
  </sheetViews>
  <sheetFormatPr baseColWidth="10" defaultRowHeight="14.4" x14ac:dyDescent="0.3"/>
  <cols>
    <col min="1" max="1" width="1.33203125" customWidth="1"/>
    <col min="2" max="2" width="9.5546875" customWidth="1"/>
    <col min="5" max="5" width="5.109375" customWidth="1"/>
    <col min="6" max="6" width="13.88671875" customWidth="1"/>
    <col min="7" max="7" width="15.33203125" bestFit="1" customWidth="1"/>
    <col min="8" max="8" width="18.109375" bestFit="1" customWidth="1"/>
    <col min="9" max="9" width="13.77734375" bestFit="1" customWidth="1"/>
    <col min="10" max="10" width="16.33203125" bestFit="1" customWidth="1"/>
    <col min="11" max="11" width="12.5546875" customWidth="1"/>
    <col min="12" max="12" width="24.44140625" customWidth="1"/>
    <col min="13" max="13" width="14.5546875" bestFit="1" customWidth="1"/>
    <col min="17" max="17" width="3.77734375" customWidth="1"/>
    <col min="18" max="18" width="3.6640625" customWidth="1"/>
  </cols>
  <sheetData>
    <row r="1" spans="1:19" ht="14.4" customHeight="1" x14ac:dyDescent="0.3">
      <c r="A1" s="238"/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86"/>
      <c r="S1" s="86"/>
    </row>
    <row r="2" spans="1:19" ht="14.4" customHeight="1" x14ac:dyDescent="0.3">
      <c r="A2" s="238" t="s">
        <v>15</v>
      </c>
      <c r="B2" s="238"/>
      <c r="C2" s="238"/>
      <c r="D2" s="238"/>
      <c r="E2" s="238"/>
      <c r="F2" s="238"/>
      <c r="G2" s="238"/>
      <c r="H2" s="238"/>
      <c r="I2" s="238"/>
      <c r="J2" s="238"/>
      <c r="K2" s="238"/>
      <c r="L2" s="238"/>
      <c r="M2" s="238"/>
      <c r="N2" s="238"/>
      <c r="O2" s="238"/>
      <c r="P2" s="238"/>
      <c r="Q2" s="238"/>
      <c r="R2" s="86"/>
      <c r="S2" s="86"/>
    </row>
    <row r="3" spans="1:19" ht="14.4" customHeight="1" x14ac:dyDescent="0.3">
      <c r="A3" s="238" t="s">
        <v>616</v>
      </c>
      <c r="B3" s="238"/>
      <c r="C3" s="238"/>
      <c r="D3" s="238"/>
      <c r="E3" s="238"/>
      <c r="F3" s="238"/>
      <c r="G3" s="238"/>
      <c r="H3" s="238"/>
      <c r="I3" s="238"/>
      <c r="J3" s="238"/>
      <c r="K3" s="238"/>
      <c r="L3" s="238"/>
      <c r="M3" s="238"/>
      <c r="N3" s="238"/>
      <c r="O3" s="238"/>
      <c r="P3" s="238"/>
      <c r="Q3" s="238"/>
      <c r="R3" s="86"/>
      <c r="S3" s="86"/>
    </row>
    <row r="6" spans="1:19" ht="17.399999999999999" x14ac:dyDescent="0.3">
      <c r="B6" s="237" t="s">
        <v>576</v>
      </c>
      <c r="C6" s="237"/>
      <c r="D6" s="237"/>
      <c r="E6" s="237"/>
      <c r="F6" s="237"/>
      <c r="G6" s="237"/>
      <c r="H6" s="237"/>
      <c r="I6" s="237"/>
      <c r="J6" s="237"/>
      <c r="K6" s="237"/>
      <c r="L6" s="237"/>
      <c r="M6" s="237"/>
      <c r="N6" s="237"/>
      <c r="O6" s="237"/>
      <c r="P6" s="237"/>
      <c r="Q6" s="25"/>
    </row>
    <row r="8" spans="1:19" ht="18" x14ac:dyDescent="0.35">
      <c r="B8" s="16" t="s">
        <v>557</v>
      </c>
      <c r="C8" s="266"/>
      <c r="D8" s="267"/>
      <c r="F8" s="16" t="s">
        <v>559</v>
      </c>
      <c r="G8" s="275"/>
      <c r="H8" s="276"/>
      <c r="J8" s="24" t="s">
        <v>561</v>
      </c>
      <c r="K8" s="277"/>
      <c r="L8" s="278"/>
      <c r="N8" s="24" t="s">
        <v>563</v>
      </c>
      <c r="O8" s="277"/>
      <c r="P8" s="278"/>
    </row>
    <row r="10" spans="1:19" ht="18" x14ac:dyDescent="0.35">
      <c r="B10" s="16" t="s">
        <v>558</v>
      </c>
      <c r="C10" s="275"/>
      <c r="D10" s="276"/>
      <c r="F10" s="24" t="s">
        <v>560</v>
      </c>
      <c r="G10" s="275"/>
      <c r="H10" s="276"/>
      <c r="J10" s="24" t="s">
        <v>562</v>
      </c>
      <c r="K10" s="271"/>
      <c r="L10" s="272"/>
      <c r="N10" s="24" t="s">
        <v>564</v>
      </c>
      <c r="O10" s="189"/>
      <c r="P10" s="190"/>
    </row>
    <row r="11" spans="1:19" x14ac:dyDescent="0.3">
      <c r="B11" s="21"/>
    </row>
    <row r="13" spans="1:19" ht="13.8" customHeight="1" x14ac:dyDescent="0.3"/>
    <row r="15" spans="1:19" ht="17.399999999999999" x14ac:dyDescent="0.3">
      <c r="F15" s="22" t="s">
        <v>565</v>
      </c>
      <c r="G15" s="22" t="s">
        <v>561</v>
      </c>
      <c r="H15" s="22" t="s">
        <v>563</v>
      </c>
      <c r="I15" s="23" t="s">
        <v>564</v>
      </c>
      <c r="J15" s="22" t="s">
        <v>560</v>
      </c>
      <c r="K15" s="22" t="s">
        <v>562</v>
      </c>
      <c r="L15" s="22" t="s">
        <v>559</v>
      </c>
      <c r="M15" s="23" t="s">
        <v>558</v>
      </c>
    </row>
    <row r="16" spans="1:19" ht="18" x14ac:dyDescent="0.35">
      <c r="F16" s="54"/>
      <c r="G16" s="60"/>
      <c r="H16" s="60"/>
      <c r="I16" s="57"/>
      <c r="J16" s="59"/>
      <c r="K16" s="58"/>
      <c r="L16" s="59"/>
      <c r="M16" s="59"/>
    </row>
    <row r="17" spans="2:18" ht="18" x14ac:dyDescent="0.35">
      <c r="F17" s="54">
        <v>25535655</v>
      </c>
      <c r="G17" s="60" t="s">
        <v>609</v>
      </c>
      <c r="H17" s="60">
        <v>25</v>
      </c>
      <c r="I17" s="57" t="s">
        <v>574</v>
      </c>
      <c r="J17" s="59" t="s">
        <v>570</v>
      </c>
      <c r="K17" s="58" t="s">
        <v>572</v>
      </c>
      <c r="L17" s="59" t="s">
        <v>567</v>
      </c>
      <c r="M17" s="59" t="s">
        <v>75</v>
      </c>
    </row>
    <row r="19" spans="2:18" ht="17.399999999999999" x14ac:dyDescent="0.3">
      <c r="B19" s="237" t="s">
        <v>577</v>
      </c>
      <c r="C19" s="237"/>
      <c r="D19" s="237"/>
      <c r="E19" s="237"/>
      <c r="F19" s="237"/>
      <c r="G19" s="237"/>
      <c r="H19" s="237"/>
      <c r="I19" s="237"/>
      <c r="J19" s="237"/>
      <c r="K19" s="237"/>
      <c r="L19" s="237"/>
      <c r="M19" s="237"/>
      <c r="N19" s="237"/>
      <c r="O19" s="237"/>
      <c r="P19" s="237"/>
      <c r="Q19" s="25"/>
    </row>
    <row r="20" spans="2:18" x14ac:dyDescent="0.3">
      <c r="B20" s="31"/>
    </row>
    <row r="21" spans="2:18" ht="17.399999999999999" x14ac:dyDescent="0.3">
      <c r="H21" s="22" t="s">
        <v>559</v>
      </c>
      <c r="I21" s="22" t="s">
        <v>557</v>
      </c>
      <c r="J21" s="22" t="s">
        <v>579</v>
      </c>
      <c r="K21" s="23" t="s">
        <v>563</v>
      </c>
    </row>
    <row r="22" spans="2:18" ht="15.6" x14ac:dyDescent="0.3">
      <c r="H22" s="35" t="s">
        <v>566</v>
      </c>
      <c r="I22" s="34"/>
      <c r="J22" s="33"/>
      <c r="K22" s="33"/>
    </row>
    <row r="25" spans="2:18" ht="17.399999999999999" x14ac:dyDescent="0.3">
      <c r="B25" s="237" t="s">
        <v>555</v>
      </c>
      <c r="C25" s="237"/>
      <c r="D25" s="237"/>
      <c r="E25" s="237"/>
      <c r="F25" s="237"/>
      <c r="G25" s="237"/>
      <c r="H25" s="237"/>
      <c r="I25" s="237"/>
      <c r="J25" s="237"/>
      <c r="K25" s="237"/>
      <c r="L25" s="237"/>
      <c r="M25" s="237"/>
      <c r="N25" s="237"/>
      <c r="O25" s="237"/>
      <c r="P25" s="237"/>
    </row>
    <row r="27" spans="2:18" ht="17.399999999999999" x14ac:dyDescent="0.3">
      <c r="B27" s="273" t="s">
        <v>556</v>
      </c>
      <c r="C27" s="273"/>
      <c r="D27" s="274"/>
      <c r="E27" s="274"/>
      <c r="F27" s="274"/>
      <c r="G27" s="274"/>
      <c r="H27" s="274"/>
      <c r="I27" s="274"/>
      <c r="J27" s="274"/>
      <c r="K27" s="274"/>
      <c r="L27" s="274"/>
      <c r="M27" s="274"/>
      <c r="N27" s="274"/>
      <c r="O27" s="274"/>
      <c r="P27" s="38"/>
      <c r="Q27" s="15"/>
      <c r="R27" s="15"/>
    </row>
    <row r="28" spans="2:18" ht="17.399999999999999" x14ac:dyDescent="0.3">
      <c r="C28" s="53"/>
      <c r="D28" s="274"/>
      <c r="E28" s="274"/>
      <c r="F28" s="274"/>
      <c r="G28" s="274"/>
      <c r="H28" s="274"/>
      <c r="I28" s="274"/>
      <c r="J28" s="274"/>
      <c r="K28" s="274"/>
      <c r="L28" s="274"/>
      <c r="M28" s="274"/>
      <c r="N28" s="274"/>
      <c r="O28" s="274"/>
      <c r="P28" s="38"/>
      <c r="Q28" s="15"/>
      <c r="R28" s="15"/>
    </row>
    <row r="29" spans="2:18" x14ac:dyDescent="0.3">
      <c r="D29" s="274"/>
      <c r="E29" s="274"/>
      <c r="F29" s="274"/>
      <c r="G29" s="274"/>
      <c r="H29" s="274"/>
      <c r="I29" s="274"/>
      <c r="J29" s="274"/>
      <c r="K29" s="274"/>
      <c r="L29" s="274"/>
      <c r="M29" s="274"/>
      <c r="N29" s="274"/>
      <c r="O29" s="274"/>
      <c r="P29" s="38"/>
      <c r="Q29" s="15"/>
      <c r="R29" s="15"/>
    </row>
    <row r="30" spans="2:18" x14ac:dyDescent="0.3">
      <c r="D30" s="274"/>
      <c r="E30" s="274"/>
      <c r="F30" s="274"/>
      <c r="G30" s="274"/>
      <c r="H30" s="274"/>
      <c r="I30" s="274"/>
      <c r="J30" s="274"/>
      <c r="K30" s="274"/>
      <c r="L30" s="274"/>
      <c r="M30" s="274"/>
      <c r="N30" s="274"/>
      <c r="O30" s="274"/>
      <c r="P30" s="38"/>
      <c r="Q30" s="15"/>
      <c r="R30" s="15"/>
    </row>
    <row r="31" spans="2:18" x14ac:dyDescent="0.3">
      <c r="D31" s="274"/>
      <c r="E31" s="274"/>
      <c r="F31" s="274"/>
      <c r="G31" s="274"/>
      <c r="H31" s="274"/>
      <c r="I31" s="274"/>
      <c r="J31" s="274"/>
      <c r="K31" s="274"/>
      <c r="L31" s="274"/>
      <c r="M31" s="274"/>
      <c r="N31" s="274"/>
      <c r="O31" s="274"/>
      <c r="P31" s="38"/>
      <c r="Q31" s="15"/>
      <c r="R31" s="15"/>
    </row>
    <row r="32" spans="2:18" x14ac:dyDescent="0.3">
      <c r="D32" s="274"/>
      <c r="E32" s="274"/>
      <c r="F32" s="274"/>
      <c r="G32" s="274"/>
      <c r="H32" s="274"/>
      <c r="I32" s="274"/>
      <c r="J32" s="274"/>
      <c r="K32" s="274"/>
      <c r="L32" s="274"/>
      <c r="M32" s="274"/>
      <c r="N32" s="274"/>
      <c r="O32" s="274"/>
      <c r="P32" s="38"/>
      <c r="Q32" s="15"/>
      <c r="R32" s="15"/>
    </row>
    <row r="33" spans="4:18" x14ac:dyDescent="0.3">
      <c r="D33" s="274"/>
      <c r="E33" s="274"/>
      <c r="F33" s="274"/>
      <c r="G33" s="274"/>
      <c r="H33" s="274"/>
      <c r="I33" s="274"/>
      <c r="J33" s="274"/>
      <c r="K33" s="274"/>
      <c r="L33" s="274"/>
      <c r="M33" s="274"/>
      <c r="N33" s="274"/>
      <c r="O33" s="274"/>
      <c r="P33" s="38"/>
      <c r="Q33" s="15"/>
      <c r="R33" s="15"/>
    </row>
    <row r="34" spans="4:18" x14ac:dyDescent="0.3">
      <c r="D34" s="274"/>
      <c r="E34" s="274"/>
      <c r="F34" s="274"/>
      <c r="G34" s="274"/>
      <c r="H34" s="274"/>
      <c r="I34" s="274"/>
      <c r="J34" s="274"/>
      <c r="K34" s="274"/>
      <c r="L34" s="274"/>
      <c r="M34" s="274"/>
      <c r="N34" s="274"/>
      <c r="O34" s="274"/>
      <c r="P34" s="38"/>
      <c r="Q34" s="15"/>
      <c r="R34" s="15"/>
    </row>
    <row r="35" spans="4:18" x14ac:dyDescent="0.3">
      <c r="D35" s="274"/>
      <c r="E35" s="274"/>
      <c r="F35" s="274"/>
      <c r="G35" s="274"/>
      <c r="H35" s="274"/>
      <c r="I35" s="274"/>
      <c r="J35" s="274"/>
      <c r="K35" s="274"/>
      <c r="L35" s="274"/>
      <c r="M35" s="274"/>
      <c r="N35" s="274"/>
      <c r="O35" s="274"/>
      <c r="P35" s="38"/>
      <c r="Q35" s="15"/>
      <c r="R35" s="15"/>
    </row>
    <row r="36" spans="4:18" x14ac:dyDescent="0.3">
      <c r="D36" s="274"/>
      <c r="E36" s="274"/>
      <c r="F36" s="274"/>
      <c r="G36" s="274"/>
      <c r="H36" s="274"/>
      <c r="I36" s="274"/>
      <c r="J36" s="274"/>
      <c r="K36" s="274"/>
      <c r="L36" s="274"/>
      <c r="M36" s="274"/>
      <c r="N36" s="274"/>
      <c r="O36" s="274"/>
      <c r="P36" s="38"/>
      <c r="Q36" s="15"/>
      <c r="R36" s="15"/>
    </row>
    <row r="37" spans="4:18" x14ac:dyDescent="0.3">
      <c r="D37" s="274"/>
      <c r="E37" s="274"/>
      <c r="F37" s="274"/>
      <c r="G37" s="274"/>
      <c r="H37" s="274"/>
      <c r="I37" s="274"/>
      <c r="J37" s="274"/>
      <c r="K37" s="274"/>
      <c r="L37" s="274"/>
      <c r="M37" s="274"/>
      <c r="N37" s="274"/>
      <c r="O37" s="274"/>
      <c r="P37" s="38"/>
      <c r="Q37" s="15"/>
      <c r="R37" s="15"/>
    </row>
    <row r="38" spans="4:18" x14ac:dyDescent="0.3">
      <c r="D38" s="274"/>
      <c r="E38" s="274"/>
      <c r="F38" s="274"/>
      <c r="G38" s="274"/>
      <c r="H38" s="274"/>
      <c r="I38" s="274"/>
      <c r="J38" s="274"/>
      <c r="K38" s="274"/>
      <c r="L38" s="274"/>
      <c r="M38" s="274"/>
      <c r="N38" s="274"/>
      <c r="O38" s="274"/>
      <c r="P38" s="38"/>
      <c r="Q38" s="15"/>
      <c r="R38" s="15"/>
    </row>
    <row r="39" spans="4:18" x14ac:dyDescent="0.3">
      <c r="D39" s="274"/>
      <c r="E39" s="274"/>
      <c r="F39" s="274"/>
      <c r="G39" s="274"/>
      <c r="H39" s="274"/>
      <c r="I39" s="274"/>
      <c r="J39" s="274"/>
      <c r="K39" s="274"/>
      <c r="L39" s="274"/>
      <c r="M39" s="274"/>
      <c r="N39" s="274"/>
      <c r="O39" s="274"/>
      <c r="P39" s="38"/>
      <c r="Q39" s="15"/>
      <c r="R39" s="15"/>
    </row>
    <row r="40" spans="4:18" x14ac:dyDescent="0.3">
      <c r="D40" s="274"/>
      <c r="E40" s="274"/>
      <c r="F40" s="274"/>
      <c r="G40" s="274"/>
      <c r="H40" s="274"/>
      <c r="I40" s="274"/>
      <c r="J40" s="274"/>
      <c r="K40" s="274"/>
      <c r="L40" s="274"/>
      <c r="M40" s="274"/>
      <c r="N40" s="274"/>
      <c r="O40" s="274"/>
      <c r="P40" s="38"/>
      <c r="Q40" s="15"/>
      <c r="R40" s="15"/>
    </row>
    <row r="41" spans="4:18" x14ac:dyDescent="0.3">
      <c r="D41" s="274"/>
      <c r="E41" s="274"/>
      <c r="F41" s="274"/>
      <c r="G41" s="274"/>
      <c r="H41" s="274"/>
      <c r="I41" s="274"/>
      <c r="J41" s="274"/>
      <c r="K41" s="274"/>
      <c r="L41" s="274"/>
      <c r="M41" s="274"/>
      <c r="N41" s="274"/>
      <c r="O41" s="274"/>
      <c r="P41" s="38"/>
      <c r="Q41" s="15"/>
      <c r="R41" s="15"/>
    </row>
    <row r="42" spans="4:18" x14ac:dyDescent="0.3">
      <c r="D42" s="274"/>
      <c r="E42" s="274"/>
      <c r="F42" s="274"/>
      <c r="G42" s="274"/>
      <c r="H42" s="274"/>
      <c r="I42" s="274"/>
      <c r="J42" s="274"/>
      <c r="K42" s="274"/>
      <c r="L42" s="274"/>
      <c r="M42" s="274"/>
      <c r="N42" s="274"/>
      <c r="O42" s="274"/>
      <c r="P42" s="38"/>
      <c r="Q42" s="15"/>
      <c r="R42" s="15"/>
    </row>
    <row r="43" spans="4:18" x14ac:dyDescent="0.3">
      <c r="D43" s="80"/>
      <c r="E43" s="80"/>
      <c r="F43" s="80"/>
      <c r="G43" s="80"/>
      <c r="H43" s="80"/>
      <c r="I43" s="80"/>
      <c r="J43" s="80"/>
      <c r="K43" s="80"/>
      <c r="L43" s="80"/>
      <c r="M43" s="80"/>
    </row>
    <row r="44" spans="4:18" x14ac:dyDescent="0.3">
      <c r="D44" s="80"/>
      <c r="E44" s="80"/>
      <c r="F44" s="80"/>
      <c r="G44" s="80"/>
      <c r="H44" s="80"/>
      <c r="I44" s="80"/>
      <c r="J44" s="80"/>
      <c r="K44" s="80"/>
      <c r="L44" s="80"/>
      <c r="M44" s="80"/>
    </row>
    <row r="45" spans="4:18" x14ac:dyDescent="0.3">
      <c r="D45" s="80"/>
      <c r="E45" s="80"/>
      <c r="F45" s="80"/>
      <c r="G45" s="80"/>
      <c r="H45" s="80"/>
      <c r="I45" s="80"/>
      <c r="J45" s="80"/>
      <c r="K45" s="80"/>
      <c r="L45" s="80"/>
      <c r="M45" s="80"/>
    </row>
    <row r="46" spans="4:18" x14ac:dyDescent="0.3">
      <c r="D46" s="80"/>
      <c r="E46" s="80"/>
      <c r="F46" s="80"/>
      <c r="G46" s="80"/>
      <c r="H46" s="80"/>
      <c r="I46" s="80"/>
      <c r="J46" s="80"/>
      <c r="K46" s="80"/>
      <c r="L46" s="80"/>
      <c r="M46" s="80"/>
    </row>
    <row r="47" spans="4:18" x14ac:dyDescent="0.3">
      <c r="D47" s="80"/>
      <c r="E47" s="80"/>
      <c r="F47" s="80"/>
      <c r="G47" s="80"/>
      <c r="H47" s="80"/>
      <c r="I47" s="80"/>
      <c r="J47" s="80"/>
      <c r="K47" s="80"/>
      <c r="L47" s="80"/>
      <c r="M47" s="80"/>
    </row>
  </sheetData>
  <mergeCells count="16">
    <mergeCell ref="A1:Q1"/>
    <mergeCell ref="A2:Q2"/>
    <mergeCell ref="A3:Q3"/>
    <mergeCell ref="B6:P6"/>
    <mergeCell ref="B25:P25"/>
    <mergeCell ref="B27:C27"/>
    <mergeCell ref="D27:O42"/>
    <mergeCell ref="B19:P19"/>
    <mergeCell ref="C8:D8"/>
    <mergeCell ref="C10:D10"/>
    <mergeCell ref="G8:H8"/>
    <mergeCell ref="G10:H10"/>
    <mergeCell ref="K10:L10"/>
    <mergeCell ref="K8:L8"/>
    <mergeCell ref="O8:P8"/>
    <mergeCell ref="O10:P10"/>
  </mergeCells>
  <dataValidations count="5">
    <dataValidation type="list" allowBlank="1" showInputMessage="1" showErrorMessage="1" sqref="C10:D10 M16:M17" xr:uid="{D7C08F47-0371-4EA0-BF44-DD72DF6F1766}">
      <formula1>Condicional</formula1>
    </dataValidation>
    <dataValidation type="list" allowBlank="1" showInputMessage="1" showErrorMessage="1" sqref="G8:H8 H22 L16:L17" xr:uid="{F3B9E4B8-89AB-4F8C-8EFB-B48FFA53FB86}">
      <formula1>Tipo2</formula1>
    </dataValidation>
    <dataValidation type="list" allowBlank="1" showInputMessage="1" showErrorMessage="1" sqref="G10:H10 J16:J17" xr:uid="{9ADBC2A3-643B-4810-A694-1B50D771F3D2}">
      <formula1>Capacidad</formula1>
    </dataValidation>
    <dataValidation type="list" allowBlank="1" showInputMessage="1" showErrorMessage="1" sqref="K10:L10 K16:K17" xr:uid="{136DB64B-16C6-4771-BBAE-BAAE3ED16EB8}">
      <formula1>Forma</formula1>
    </dataValidation>
    <dataValidation type="list" allowBlank="1" showInputMessage="1" showErrorMessage="1" sqref="O10:P10 I16:I17" xr:uid="{9CB8532F-144F-42BB-A2E9-075D2EE0A4F2}">
      <formula1>Unidad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scale="59" orientation="landscape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A0824-EA47-442B-B39D-3B566E82B059}">
  <sheetPr codeName="Hoja7">
    <tabColor theme="0"/>
    <pageSetUpPr fitToPage="1"/>
  </sheetPr>
  <dimension ref="A1:S40"/>
  <sheetViews>
    <sheetView showGridLines="0" zoomScaleNormal="100" zoomScaleSheetLayoutView="70" workbookViewId="0">
      <pane ySplit="3" topLeftCell="A4" activePane="bottomLeft" state="frozen"/>
      <selection activeCell="D37" sqref="D37:O45"/>
      <selection pane="bottomLeft" activeCell="D29" sqref="D29:R40"/>
    </sheetView>
  </sheetViews>
  <sheetFormatPr baseColWidth="10" defaultRowHeight="14.4" x14ac:dyDescent="0.3"/>
  <cols>
    <col min="1" max="1" width="3.88671875" customWidth="1"/>
    <col min="16" max="16" width="12.88671875" customWidth="1"/>
    <col min="19" max="19" width="5.109375" customWidth="1"/>
  </cols>
  <sheetData>
    <row r="1" spans="1:19" ht="14.4" customHeight="1" x14ac:dyDescent="0.3">
      <c r="A1" s="238"/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  <c r="S1" s="238"/>
    </row>
    <row r="2" spans="1:19" ht="14.4" customHeight="1" x14ac:dyDescent="0.3">
      <c r="A2" s="238" t="s">
        <v>15</v>
      </c>
      <c r="B2" s="238"/>
      <c r="C2" s="238"/>
      <c r="D2" s="238"/>
      <c r="E2" s="238"/>
      <c r="F2" s="238"/>
      <c r="G2" s="238"/>
      <c r="H2" s="238"/>
      <c r="I2" s="238"/>
      <c r="J2" s="238"/>
      <c r="K2" s="238"/>
      <c r="L2" s="238"/>
      <c r="M2" s="238"/>
      <c r="N2" s="238"/>
      <c r="O2" s="238"/>
      <c r="P2" s="238"/>
      <c r="Q2" s="238"/>
      <c r="R2" s="238"/>
      <c r="S2" s="238"/>
    </row>
    <row r="3" spans="1:19" ht="14.4" customHeight="1" x14ac:dyDescent="0.3">
      <c r="A3" s="238" t="s">
        <v>616</v>
      </c>
      <c r="B3" s="238"/>
      <c r="C3" s="238"/>
      <c r="D3" s="238"/>
      <c r="E3" s="238"/>
      <c r="F3" s="238"/>
      <c r="G3" s="238"/>
      <c r="H3" s="238"/>
      <c r="I3" s="238"/>
      <c r="J3" s="238"/>
      <c r="K3" s="238"/>
      <c r="L3" s="238"/>
      <c r="M3" s="238"/>
      <c r="N3" s="238"/>
      <c r="O3" s="238"/>
      <c r="P3" s="238"/>
      <c r="Q3" s="238"/>
      <c r="R3" s="238"/>
      <c r="S3" s="238"/>
    </row>
    <row r="5" spans="1:19" ht="17.399999999999999" x14ac:dyDescent="0.3">
      <c r="B5" s="237" t="s">
        <v>405</v>
      </c>
      <c r="C5" s="237"/>
      <c r="D5" s="237"/>
      <c r="E5" s="237"/>
      <c r="F5" s="237"/>
      <c r="G5" s="237"/>
      <c r="H5" s="237"/>
      <c r="I5" s="237"/>
      <c r="J5" s="237"/>
      <c r="K5" s="237"/>
      <c r="L5" s="237"/>
      <c r="M5" s="237"/>
      <c r="N5" s="237"/>
      <c r="O5" s="237"/>
      <c r="P5" s="237"/>
      <c r="Q5" s="237"/>
      <c r="R5" s="237"/>
    </row>
    <row r="7" spans="1:19" ht="17.399999999999999" customHeight="1" x14ac:dyDescent="0.3">
      <c r="B7" s="273" t="s">
        <v>386</v>
      </c>
      <c r="C7" s="273"/>
      <c r="D7" s="287"/>
      <c r="E7" s="287"/>
      <c r="G7" s="279" t="s">
        <v>387</v>
      </c>
      <c r="H7" s="197"/>
      <c r="I7" s="288"/>
      <c r="J7" s="289"/>
      <c r="L7" s="16" t="s">
        <v>330</v>
      </c>
      <c r="M7" s="42"/>
      <c r="O7" s="279" t="s">
        <v>388</v>
      </c>
      <c r="P7" s="197"/>
      <c r="Q7" s="229"/>
      <c r="R7" s="231"/>
    </row>
    <row r="8" spans="1:19" ht="14.4" customHeight="1" x14ac:dyDescent="0.3">
      <c r="B8" s="273"/>
      <c r="C8" s="273"/>
    </row>
    <row r="10" spans="1:19" ht="17.399999999999999" customHeight="1" x14ac:dyDescent="0.3">
      <c r="B10" s="273" t="s">
        <v>389</v>
      </c>
      <c r="C10" s="273"/>
      <c r="D10" s="285"/>
      <c r="E10" s="285"/>
      <c r="G10" s="279" t="s">
        <v>390</v>
      </c>
      <c r="H10" s="197"/>
      <c r="I10" s="199"/>
      <c r="J10" s="201"/>
    </row>
    <row r="13" spans="1:19" ht="18" x14ac:dyDescent="0.3">
      <c r="B13" s="279" t="s">
        <v>70</v>
      </c>
      <c r="C13" s="197"/>
      <c r="D13" s="286"/>
      <c r="E13" s="286"/>
      <c r="G13" s="279" t="s">
        <v>393</v>
      </c>
      <c r="H13" s="197"/>
      <c r="I13" s="240"/>
      <c r="J13" s="242"/>
      <c r="L13" s="16" t="s">
        <v>394</v>
      </c>
      <c r="M13" s="43"/>
      <c r="O13" s="279" t="s">
        <v>396</v>
      </c>
      <c r="P13" s="197"/>
      <c r="Q13" s="226"/>
      <c r="R13" s="228"/>
    </row>
    <row r="16" spans="1:19" ht="18" x14ac:dyDescent="0.3">
      <c r="B16" s="279" t="s">
        <v>400</v>
      </c>
      <c r="C16" s="197"/>
      <c r="D16" s="280"/>
      <c r="E16" s="281"/>
      <c r="G16" s="279" t="s">
        <v>403</v>
      </c>
      <c r="H16" s="197"/>
      <c r="I16" s="280"/>
      <c r="J16" s="281"/>
      <c r="L16" s="16" t="s">
        <v>402</v>
      </c>
      <c r="M16" s="280"/>
      <c r="N16" s="281"/>
      <c r="P16" s="16" t="s">
        <v>404</v>
      </c>
      <c r="Q16" s="280"/>
      <c r="R16" s="281"/>
    </row>
    <row r="18" spans="2:18" ht="18" x14ac:dyDescent="0.3">
      <c r="B18" s="279" t="s">
        <v>401</v>
      </c>
      <c r="C18" s="197"/>
      <c r="D18" s="280"/>
      <c r="E18" s="281"/>
      <c r="G18" s="279" t="s">
        <v>406</v>
      </c>
      <c r="H18" s="197"/>
      <c r="I18" s="280"/>
      <c r="J18" s="281"/>
      <c r="L18" s="16" t="s">
        <v>410</v>
      </c>
      <c r="M18" s="280"/>
      <c r="N18" s="281"/>
      <c r="P18" s="16" t="s">
        <v>411</v>
      </c>
      <c r="Q18" s="280"/>
      <c r="R18" s="281"/>
    </row>
    <row r="20" spans="2:18" ht="18" x14ac:dyDescent="0.3">
      <c r="B20" s="279" t="s">
        <v>412</v>
      </c>
      <c r="C20" s="197"/>
      <c r="D20" s="280"/>
      <c r="E20" s="281"/>
      <c r="G20" s="279" t="s">
        <v>409</v>
      </c>
      <c r="H20" s="197"/>
      <c r="I20" s="280"/>
      <c r="J20" s="281"/>
      <c r="L20" s="16" t="s">
        <v>407</v>
      </c>
      <c r="M20" s="280"/>
      <c r="N20" s="281"/>
      <c r="P20" s="16" t="s">
        <v>408</v>
      </c>
      <c r="Q20" s="280"/>
      <c r="R20" s="281"/>
    </row>
    <row r="22" spans="2:18" ht="18" x14ac:dyDescent="0.3">
      <c r="B22" s="279" t="s">
        <v>413</v>
      </c>
      <c r="C22" s="197"/>
      <c r="D22" s="280"/>
      <c r="E22" s="281"/>
      <c r="G22" s="279" t="s">
        <v>414</v>
      </c>
      <c r="H22" s="197"/>
      <c r="I22" s="280"/>
      <c r="J22" s="281"/>
      <c r="L22" s="16" t="s">
        <v>415</v>
      </c>
      <c r="M22" s="280"/>
      <c r="N22" s="281"/>
      <c r="P22" s="16" t="s">
        <v>416</v>
      </c>
      <c r="Q22" s="280"/>
      <c r="R22" s="281"/>
    </row>
    <row r="24" spans="2:18" ht="18" x14ac:dyDescent="0.3">
      <c r="B24" s="279" t="s">
        <v>417</v>
      </c>
      <c r="C24" s="197"/>
      <c r="D24" s="280"/>
      <c r="E24" s="281"/>
      <c r="G24" s="279" t="s">
        <v>418</v>
      </c>
      <c r="H24" s="197"/>
      <c r="I24" s="280"/>
      <c r="J24" s="281"/>
      <c r="L24" s="16" t="s">
        <v>419</v>
      </c>
      <c r="M24" s="280"/>
      <c r="N24" s="281"/>
      <c r="P24" s="16" t="s">
        <v>420</v>
      </c>
      <c r="Q24" s="283"/>
      <c r="R24" s="284"/>
    </row>
    <row r="26" spans="2:18" ht="18" x14ac:dyDescent="0.3">
      <c r="B26" s="279" t="s">
        <v>421</v>
      </c>
      <c r="C26" s="197"/>
      <c r="D26" s="280"/>
      <c r="E26" s="281"/>
      <c r="G26" s="279" t="s">
        <v>422</v>
      </c>
      <c r="H26" s="197"/>
      <c r="I26" s="280"/>
      <c r="J26" s="281"/>
    </row>
    <row r="29" spans="2:18" ht="17.399999999999999" customHeight="1" x14ac:dyDescent="0.3">
      <c r="B29" s="273" t="s">
        <v>423</v>
      </c>
      <c r="C29" s="273"/>
      <c r="D29" s="282"/>
      <c r="E29" s="282"/>
      <c r="F29" s="282"/>
      <c r="G29" s="282"/>
      <c r="H29" s="282"/>
      <c r="I29" s="282"/>
      <c r="J29" s="282"/>
      <c r="K29" s="282"/>
      <c r="L29" s="282"/>
      <c r="M29" s="282"/>
      <c r="N29" s="282"/>
      <c r="O29" s="282"/>
      <c r="P29" s="282"/>
      <c r="Q29" s="282"/>
      <c r="R29" s="282"/>
    </row>
    <row r="30" spans="2:18" ht="17.399999999999999" customHeight="1" x14ac:dyDescent="0.3">
      <c r="B30" s="273"/>
      <c r="C30" s="273"/>
      <c r="D30" s="282"/>
      <c r="E30" s="282"/>
      <c r="F30" s="282"/>
      <c r="G30" s="282"/>
      <c r="H30" s="282"/>
      <c r="I30" s="282"/>
      <c r="J30" s="282"/>
      <c r="K30" s="282"/>
      <c r="L30" s="282"/>
      <c r="M30" s="282"/>
      <c r="N30" s="282"/>
      <c r="O30" s="282"/>
      <c r="P30" s="282"/>
      <c r="Q30" s="282"/>
      <c r="R30" s="282"/>
    </row>
    <row r="31" spans="2:18" ht="14.4" customHeight="1" x14ac:dyDescent="0.3">
      <c r="D31" s="282"/>
      <c r="E31" s="282"/>
      <c r="F31" s="282"/>
      <c r="G31" s="282"/>
      <c r="H31" s="282"/>
      <c r="I31" s="282"/>
      <c r="J31" s="282"/>
      <c r="K31" s="282"/>
      <c r="L31" s="282"/>
      <c r="M31" s="282"/>
      <c r="N31" s="282"/>
      <c r="O31" s="282"/>
      <c r="P31" s="282"/>
      <c r="Q31" s="282"/>
      <c r="R31" s="282"/>
    </row>
    <row r="32" spans="2:18" ht="14.4" customHeight="1" x14ac:dyDescent="0.3">
      <c r="D32" s="282"/>
      <c r="E32" s="282"/>
      <c r="F32" s="282"/>
      <c r="G32" s="282"/>
      <c r="H32" s="282"/>
      <c r="I32" s="282"/>
      <c r="J32" s="282"/>
      <c r="K32" s="282"/>
      <c r="L32" s="282"/>
      <c r="M32" s="282"/>
      <c r="N32" s="282"/>
      <c r="O32" s="282"/>
      <c r="P32" s="282"/>
      <c r="Q32" s="282"/>
      <c r="R32" s="282"/>
    </row>
    <row r="33" spans="4:18" ht="14.4" customHeight="1" x14ac:dyDescent="0.3">
      <c r="D33" s="282"/>
      <c r="E33" s="282"/>
      <c r="F33" s="282"/>
      <c r="G33" s="282"/>
      <c r="H33" s="282"/>
      <c r="I33" s="282"/>
      <c r="J33" s="282"/>
      <c r="K33" s="282"/>
      <c r="L33" s="282"/>
      <c r="M33" s="282"/>
      <c r="N33" s="282"/>
      <c r="O33" s="282"/>
      <c r="P33" s="282"/>
      <c r="Q33" s="282"/>
      <c r="R33" s="282"/>
    </row>
    <row r="34" spans="4:18" ht="14.4" customHeight="1" x14ac:dyDescent="0.3">
      <c r="D34" s="282"/>
      <c r="E34" s="282"/>
      <c r="F34" s="282"/>
      <c r="G34" s="282"/>
      <c r="H34" s="282"/>
      <c r="I34" s="282"/>
      <c r="J34" s="282"/>
      <c r="K34" s="282"/>
      <c r="L34" s="282"/>
      <c r="M34" s="282"/>
      <c r="N34" s="282"/>
      <c r="O34" s="282"/>
      <c r="P34" s="282"/>
      <c r="Q34" s="282"/>
      <c r="R34" s="282"/>
    </row>
    <row r="35" spans="4:18" x14ac:dyDescent="0.3">
      <c r="D35" s="282"/>
      <c r="E35" s="282"/>
      <c r="F35" s="282"/>
      <c r="G35" s="282"/>
      <c r="H35" s="282"/>
      <c r="I35" s="282"/>
      <c r="J35" s="282"/>
      <c r="K35" s="282"/>
      <c r="L35" s="282"/>
      <c r="M35" s="282"/>
      <c r="N35" s="282"/>
      <c r="O35" s="282"/>
      <c r="P35" s="282"/>
      <c r="Q35" s="282"/>
      <c r="R35" s="282"/>
    </row>
    <row r="36" spans="4:18" x14ac:dyDescent="0.3">
      <c r="D36" s="282"/>
      <c r="E36" s="282"/>
      <c r="F36" s="282"/>
      <c r="G36" s="282"/>
      <c r="H36" s="282"/>
      <c r="I36" s="282"/>
      <c r="J36" s="282"/>
      <c r="K36" s="282"/>
      <c r="L36" s="282"/>
      <c r="M36" s="282"/>
      <c r="N36" s="282"/>
      <c r="O36" s="282"/>
      <c r="P36" s="282"/>
      <c r="Q36" s="282"/>
      <c r="R36" s="282"/>
    </row>
    <row r="37" spans="4:18" x14ac:dyDescent="0.3">
      <c r="D37" s="282"/>
      <c r="E37" s="282"/>
      <c r="F37" s="282"/>
      <c r="G37" s="282"/>
      <c r="H37" s="282"/>
      <c r="I37" s="282"/>
      <c r="J37" s="282"/>
      <c r="K37" s="282"/>
      <c r="L37" s="282"/>
      <c r="M37" s="282"/>
      <c r="N37" s="282"/>
      <c r="O37" s="282"/>
      <c r="P37" s="282"/>
      <c r="Q37" s="282"/>
      <c r="R37" s="282"/>
    </row>
    <row r="38" spans="4:18" x14ac:dyDescent="0.3">
      <c r="D38" s="282"/>
      <c r="E38" s="282"/>
      <c r="F38" s="282"/>
      <c r="G38" s="282"/>
      <c r="H38" s="282"/>
      <c r="I38" s="282"/>
      <c r="J38" s="282"/>
      <c r="K38" s="282"/>
      <c r="L38" s="282"/>
      <c r="M38" s="282"/>
      <c r="N38" s="282"/>
      <c r="O38" s="282"/>
      <c r="P38" s="282"/>
      <c r="Q38" s="282"/>
      <c r="R38" s="282"/>
    </row>
    <row r="39" spans="4:18" x14ac:dyDescent="0.3">
      <c r="D39" s="282"/>
      <c r="E39" s="282"/>
      <c r="F39" s="282"/>
      <c r="G39" s="282"/>
      <c r="H39" s="282"/>
      <c r="I39" s="282"/>
      <c r="J39" s="282"/>
      <c r="K39" s="282"/>
      <c r="L39" s="282"/>
      <c r="M39" s="282"/>
      <c r="N39" s="282"/>
      <c r="O39" s="282"/>
      <c r="P39" s="282"/>
      <c r="Q39" s="282"/>
      <c r="R39" s="282"/>
    </row>
    <row r="40" spans="4:18" x14ac:dyDescent="0.3"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</row>
  </sheetData>
  <mergeCells count="56">
    <mergeCell ref="B5:R5"/>
    <mergeCell ref="D7:E7"/>
    <mergeCell ref="A1:S1"/>
    <mergeCell ref="A2:S2"/>
    <mergeCell ref="A3:S3"/>
    <mergeCell ref="Q7:R7"/>
    <mergeCell ref="O7:P7"/>
    <mergeCell ref="I7:J7"/>
    <mergeCell ref="G7:H7"/>
    <mergeCell ref="B7:C8"/>
    <mergeCell ref="O13:P13"/>
    <mergeCell ref="Q13:R13"/>
    <mergeCell ref="G16:H16"/>
    <mergeCell ref="D16:E16"/>
    <mergeCell ref="M16:N16"/>
    <mergeCell ref="I16:J16"/>
    <mergeCell ref="Q16:R16"/>
    <mergeCell ref="B10:C10"/>
    <mergeCell ref="D10:E10"/>
    <mergeCell ref="G10:H10"/>
    <mergeCell ref="I10:J10"/>
    <mergeCell ref="B16:C16"/>
    <mergeCell ref="B13:C13"/>
    <mergeCell ref="D13:E13"/>
    <mergeCell ref="G13:H13"/>
    <mergeCell ref="I13:J13"/>
    <mergeCell ref="G20:H20"/>
    <mergeCell ref="I20:J20"/>
    <mergeCell ref="M20:N20"/>
    <mergeCell ref="B18:C18"/>
    <mergeCell ref="G18:H18"/>
    <mergeCell ref="I18:J18"/>
    <mergeCell ref="M18:N18"/>
    <mergeCell ref="D18:E18"/>
    <mergeCell ref="Q18:R18"/>
    <mergeCell ref="Q24:R24"/>
    <mergeCell ref="Q20:R20"/>
    <mergeCell ref="B22:C22"/>
    <mergeCell ref="D22:E22"/>
    <mergeCell ref="G22:H22"/>
    <mergeCell ref="I22:J22"/>
    <mergeCell ref="M22:N22"/>
    <mergeCell ref="Q22:R22"/>
    <mergeCell ref="B24:C24"/>
    <mergeCell ref="D24:E24"/>
    <mergeCell ref="G24:H24"/>
    <mergeCell ref="I24:J24"/>
    <mergeCell ref="M24:N24"/>
    <mergeCell ref="B20:C20"/>
    <mergeCell ref="D20:E20"/>
    <mergeCell ref="B26:C26"/>
    <mergeCell ref="D26:E26"/>
    <mergeCell ref="G26:H26"/>
    <mergeCell ref="I26:J26"/>
    <mergeCell ref="B29:C30"/>
    <mergeCell ref="D29:R40"/>
  </mergeCells>
  <dataValidations count="4">
    <dataValidation type="list" allowBlank="1" showInputMessage="1" showErrorMessage="1" sqref="D13:E13" xr:uid="{3A204814-D3CE-4279-8E7E-ED07A039BA62}">
      <formula1>Cond2</formula1>
    </dataValidation>
    <dataValidation type="list" allowBlank="1" showInputMessage="1" showErrorMessage="1" sqref="M13 D16 M16 I16 Q16 D18 I18 M18 Q18 D20 I20 M20 Q20 D22 I22 M22 Q22 D24 I24 M24 D26" xr:uid="{6C4775A3-F7DE-4027-AD9F-2227C8C79B62}">
      <formula1>Condicional</formula1>
    </dataValidation>
    <dataValidation type="list" allowBlank="1" showInputMessage="1" showErrorMessage="1" sqref="Q13:R13" xr:uid="{D9894A0C-192D-4AE9-BD08-1533CA56D921}">
      <formula1>Horario</formula1>
    </dataValidation>
    <dataValidation type="whole" allowBlank="1" showInputMessage="1" showErrorMessage="1" sqref="Q24:R24" xr:uid="{B3693F4B-9FB1-49AD-9D95-C20B18D5C308}">
      <formula1>0</formula1>
      <formula2>15</formula2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scale="6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CE6FE-50B1-4C1D-92ED-0108A9DE3E53}">
  <sheetPr codeName="Hoja6">
    <tabColor theme="0"/>
  </sheetPr>
  <dimension ref="A1:S78"/>
  <sheetViews>
    <sheetView showGridLines="0" view="pageBreakPreview" zoomScale="60" zoomScaleNormal="100" workbookViewId="0">
      <pane ySplit="3" topLeftCell="A43" activePane="bottomLeft" state="frozen"/>
      <selection activeCell="D37" sqref="D37:O45"/>
      <selection pane="bottomLeft" activeCell="D67" sqref="D67:R78"/>
    </sheetView>
  </sheetViews>
  <sheetFormatPr baseColWidth="10" defaultRowHeight="14.4" x14ac:dyDescent="0.3"/>
  <cols>
    <col min="1" max="1" width="3.88671875" customWidth="1"/>
    <col min="12" max="12" width="12.109375" bestFit="1" customWidth="1"/>
    <col min="16" max="16" width="12.21875" customWidth="1"/>
    <col min="18" max="18" width="11.5546875" customWidth="1"/>
    <col min="19" max="19" width="5.109375" customWidth="1"/>
  </cols>
  <sheetData>
    <row r="1" spans="1:19" ht="14.4" customHeight="1" x14ac:dyDescent="0.3">
      <c r="A1" s="238"/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  <c r="S1" s="238"/>
    </row>
    <row r="2" spans="1:19" ht="14.4" customHeight="1" x14ac:dyDescent="0.3">
      <c r="A2" s="238" t="s">
        <v>15</v>
      </c>
      <c r="B2" s="238"/>
      <c r="C2" s="238"/>
      <c r="D2" s="238"/>
      <c r="E2" s="238"/>
      <c r="F2" s="238"/>
      <c r="G2" s="238"/>
      <c r="H2" s="238"/>
      <c r="I2" s="238"/>
      <c r="J2" s="238"/>
      <c r="K2" s="238"/>
      <c r="L2" s="238"/>
      <c r="M2" s="238"/>
      <c r="N2" s="238"/>
      <c r="O2" s="238"/>
      <c r="P2" s="238"/>
      <c r="Q2" s="238"/>
      <c r="R2" s="238"/>
      <c r="S2" s="238"/>
    </row>
    <row r="3" spans="1:19" ht="14.4" customHeight="1" x14ac:dyDescent="0.3">
      <c r="A3" s="238" t="s">
        <v>616</v>
      </c>
      <c r="B3" s="238"/>
      <c r="C3" s="238"/>
      <c r="D3" s="238"/>
      <c r="E3" s="238"/>
      <c r="F3" s="238"/>
      <c r="G3" s="238"/>
      <c r="H3" s="238"/>
      <c r="I3" s="238"/>
      <c r="J3" s="238"/>
      <c r="K3" s="238"/>
      <c r="L3" s="238"/>
      <c r="M3" s="238"/>
      <c r="N3" s="238"/>
      <c r="O3" s="238"/>
      <c r="P3" s="238"/>
      <c r="Q3" s="238"/>
      <c r="R3" s="238"/>
      <c r="S3" s="238"/>
    </row>
    <row r="5" spans="1:19" ht="19.8" customHeight="1" x14ac:dyDescent="0.3">
      <c r="B5" s="237" t="s">
        <v>331</v>
      </c>
      <c r="C5" s="237"/>
      <c r="D5" s="237"/>
      <c r="E5" s="237"/>
      <c r="F5" s="237"/>
      <c r="G5" s="237"/>
      <c r="H5" s="237"/>
      <c r="I5" s="237"/>
      <c r="J5" s="237"/>
      <c r="K5" s="237"/>
      <c r="L5" s="237"/>
      <c r="M5" s="237"/>
      <c r="N5" s="237"/>
      <c r="O5" s="237"/>
      <c r="P5" s="237"/>
      <c r="Q5" s="237"/>
      <c r="R5" s="237"/>
    </row>
    <row r="7" spans="1:19" ht="18" x14ac:dyDescent="0.3">
      <c r="C7" s="279" t="s">
        <v>332</v>
      </c>
      <c r="D7" s="279"/>
      <c r="E7" s="41"/>
      <c r="G7" s="193" t="s">
        <v>333</v>
      </c>
      <c r="H7" s="197"/>
      <c r="I7" s="39"/>
      <c r="K7" s="193" t="s">
        <v>334</v>
      </c>
      <c r="L7" s="197"/>
      <c r="M7" s="39"/>
      <c r="O7" s="193" t="s">
        <v>335</v>
      </c>
      <c r="P7" s="197"/>
      <c r="Q7" s="39"/>
    </row>
    <row r="9" spans="1:19" ht="17.399999999999999" x14ac:dyDescent="0.3">
      <c r="B9" s="237" t="s">
        <v>336</v>
      </c>
      <c r="C9" s="237"/>
      <c r="D9" s="237"/>
      <c r="E9" s="237"/>
      <c r="F9" s="237"/>
      <c r="G9" s="237"/>
      <c r="H9" s="237"/>
      <c r="I9" s="237"/>
      <c r="J9" s="237"/>
      <c r="K9" s="237"/>
      <c r="L9" s="237"/>
      <c r="M9" s="237"/>
      <c r="N9" s="237"/>
      <c r="O9" s="237"/>
      <c r="P9" s="237"/>
      <c r="Q9" s="237"/>
      <c r="R9" s="237"/>
    </row>
    <row r="11" spans="1:19" ht="17.399999999999999" x14ac:dyDescent="0.3">
      <c r="C11" s="16"/>
      <c r="D11" s="16"/>
      <c r="E11" s="16" t="s">
        <v>26</v>
      </c>
      <c r="F11" s="16"/>
      <c r="G11" s="16" t="s">
        <v>337</v>
      </c>
      <c r="H11" s="16"/>
    </row>
    <row r="13" spans="1:19" ht="18" x14ac:dyDescent="0.3">
      <c r="C13" s="279" t="s">
        <v>338</v>
      </c>
      <c r="D13" s="279"/>
      <c r="E13" s="41"/>
      <c r="G13" s="41"/>
    </row>
    <row r="15" spans="1:19" ht="18" x14ac:dyDescent="0.3">
      <c r="C15" s="279" t="s">
        <v>339</v>
      </c>
      <c r="D15" s="279"/>
      <c r="E15" s="41"/>
      <c r="G15" s="41"/>
    </row>
    <row r="17" spans="2:18" ht="18" x14ac:dyDescent="0.3">
      <c r="C17" s="279" t="s">
        <v>332</v>
      </c>
      <c r="D17" s="279"/>
      <c r="E17" s="41"/>
      <c r="G17" s="41"/>
    </row>
    <row r="19" spans="2:18" ht="18" x14ac:dyDescent="0.3">
      <c r="C19" s="279" t="s">
        <v>332</v>
      </c>
      <c r="D19" s="279"/>
      <c r="E19" s="41"/>
      <c r="G19" s="41"/>
    </row>
    <row r="22" spans="2:18" ht="17.399999999999999" x14ac:dyDescent="0.3">
      <c r="B22" s="237" t="s">
        <v>372</v>
      </c>
      <c r="C22" s="237"/>
      <c r="D22" s="237"/>
      <c r="E22" s="237"/>
      <c r="F22" s="237"/>
      <c r="G22" s="237"/>
      <c r="H22" s="237"/>
      <c r="I22" s="237"/>
      <c r="J22" s="237"/>
      <c r="K22" s="237"/>
      <c r="L22" s="237"/>
      <c r="M22" s="237"/>
      <c r="N22" s="237"/>
      <c r="O22" s="237"/>
      <c r="P22" s="237"/>
      <c r="Q22" s="237"/>
      <c r="R22" s="237"/>
    </row>
    <row r="24" spans="2:18" ht="18" x14ac:dyDescent="0.3">
      <c r="B24" s="279" t="s">
        <v>340</v>
      </c>
      <c r="C24" s="279"/>
      <c r="D24" s="191"/>
      <c r="E24" s="192"/>
      <c r="G24" s="279" t="s">
        <v>341</v>
      </c>
      <c r="H24" s="279"/>
      <c r="I24" s="191"/>
      <c r="J24" s="192"/>
      <c r="L24" s="10" t="s">
        <v>342</v>
      </c>
      <c r="M24" s="191"/>
      <c r="N24" s="192"/>
      <c r="P24" s="10" t="s">
        <v>343</v>
      </c>
      <c r="Q24" s="191"/>
      <c r="R24" s="192"/>
    </row>
    <row r="26" spans="2:18" ht="18" x14ac:dyDescent="0.3">
      <c r="B26" s="279" t="s">
        <v>353</v>
      </c>
      <c r="C26" s="279"/>
      <c r="D26" s="191"/>
      <c r="E26" s="192"/>
      <c r="G26" s="279" t="s">
        <v>354</v>
      </c>
      <c r="H26" s="279"/>
      <c r="I26" s="191"/>
      <c r="J26" s="192"/>
      <c r="L26" s="10" t="s">
        <v>355</v>
      </c>
      <c r="M26" s="290"/>
      <c r="N26" s="291"/>
      <c r="P26" s="10" t="s">
        <v>356</v>
      </c>
      <c r="Q26" s="191"/>
      <c r="R26" s="192"/>
    </row>
    <row r="27" spans="2:18" ht="18" x14ac:dyDescent="0.35">
      <c r="N27" s="44"/>
    </row>
    <row r="28" spans="2:18" ht="17.399999999999999" x14ac:dyDescent="0.3">
      <c r="B28" s="237" t="s">
        <v>373</v>
      </c>
      <c r="C28" s="237"/>
      <c r="D28" s="237"/>
      <c r="E28" s="237"/>
      <c r="F28" s="237"/>
      <c r="G28" s="237"/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</row>
    <row r="29" spans="2:18" ht="17.399999999999999" x14ac:dyDescent="0.3">
      <c r="L29" s="16"/>
    </row>
    <row r="30" spans="2:18" ht="17.399999999999999" x14ac:dyDescent="0.3">
      <c r="D30" s="279" t="s">
        <v>363</v>
      </c>
      <c r="E30" s="279"/>
      <c r="G30" s="279" t="s">
        <v>366</v>
      </c>
      <c r="H30" s="279"/>
      <c r="L30" s="16"/>
    </row>
    <row r="31" spans="2:18" ht="17.399999999999999" x14ac:dyDescent="0.3">
      <c r="D31" s="16"/>
      <c r="E31" s="16"/>
      <c r="G31" s="16"/>
      <c r="L31" s="16"/>
    </row>
    <row r="32" spans="2:18" ht="18" x14ac:dyDescent="0.3">
      <c r="B32" s="279" t="s">
        <v>374</v>
      </c>
      <c r="C32" s="197"/>
      <c r="D32" s="191"/>
      <c r="E32" s="192"/>
      <c r="F32" s="45"/>
      <c r="G32" s="205"/>
      <c r="H32" s="207"/>
      <c r="I32" s="45"/>
    </row>
    <row r="33" spans="1:19" x14ac:dyDescent="0.3">
      <c r="D33" s="45"/>
      <c r="E33" s="45"/>
      <c r="F33" s="45"/>
      <c r="G33" s="45"/>
      <c r="H33" s="45"/>
      <c r="I33" s="45"/>
    </row>
    <row r="34" spans="1:19" ht="18" x14ac:dyDescent="0.3">
      <c r="B34" s="279" t="s">
        <v>375</v>
      </c>
      <c r="C34" s="279"/>
      <c r="D34" s="191"/>
      <c r="E34" s="192"/>
      <c r="F34" s="45"/>
      <c r="G34" s="205"/>
      <c r="H34" s="207"/>
      <c r="I34" s="45"/>
    </row>
    <row r="35" spans="1:19" x14ac:dyDescent="0.3">
      <c r="D35" s="45"/>
      <c r="E35" s="45"/>
      <c r="F35" s="45"/>
      <c r="G35" s="45"/>
      <c r="H35" s="45"/>
      <c r="I35" s="45"/>
    </row>
    <row r="36" spans="1:19" ht="18" x14ac:dyDescent="0.3">
      <c r="B36" s="279" t="s">
        <v>376</v>
      </c>
      <c r="C36" s="279"/>
      <c r="D36" s="191"/>
      <c r="E36" s="192"/>
      <c r="F36" s="45"/>
      <c r="G36" s="205"/>
      <c r="H36" s="207"/>
      <c r="I36" s="45"/>
    </row>
    <row r="37" spans="1:19" x14ac:dyDescent="0.3">
      <c r="D37" s="45"/>
      <c r="E37" s="45"/>
      <c r="F37" s="45"/>
      <c r="G37" s="45"/>
      <c r="H37" s="45"/>
      <c r="I37" s="45"/>
    </row>
    <row r="38" spans="1:19" ht="18" x14ac:dyDescent="0.3">
      <c r="B38" s="279" t="s">
        <v>377</v>
      </c>
      <c r="C38" s="279"/>
      <c r="D38" s="191"/>
      <c r="E38" s="192"/>
      <c r="F38" s="45"/>
      <c r="G38" s="205"/>
      <c r="H38" s="207"/>
      <c r="I38" s="45"/>
    </row>
    <row r="39" spans="1:19" x14ac:dyDescent="0.3">
      <c r="D39" s="45"/>
      <c r="E39" s="45"/>
      <c r="F39" s="45"/>
      <c r="G39" s="45"/>
      <c r="H39" s="45"/>
      <c r="I39" s="45"/>
    </row>
    <row r="40" spans="1:19" ht="18" x14ac:dyDescent="0.3">
      <c r="B40" s="279" t="s">
        <v>378</v>
      </c>
      <c r="C40" s="279"/>
      <c r="D40" s="191"/>
      <c r="E40" s="192"/>
      <c r="F40" s="45"/>
      <c r="G40" s="205"/>
      <c r="H40" s="207"/>
      <c r="I40" s="45"/>
    </row>
    <row r="41" spans="1:19" x14ac:dyDescent="0.3">
      <c r="D41" s="45"/>
      <c r="E41" s="45"/>
      <c r="F41" s="45"/>
      <c r="G41" s="45"/>
      <c r="H41" s="45"/>
      <c r="I41" s="45"/>
    </row>
    <row r="42" spans="1:19" ht="18" x14ac:dyDescent="0.3">
      <c r="B42" s="279" t="s">
        <v>345</v>
      </c>
      <c r="C42" s="279"/>
      <c r="D42" s="191"/>
      <c r="E42" s="192"/>
      <c r="F42" s="45"/>
      <c r="G42" s="205"/>
      <c r="H42" s="207"/>
      <c r="I42" s="84"/>
    </row>
    <row r="43" spans="1:19" ht="17.399999999999999" x14ac:dyDescent="0.3">
      <c r="B43" s="81"/>
      <c r="C43" s="45"/>
    </row>
    <row r="44" spans="1:19" ht="17.399999999999999" x14ac:dyDescent="0.3">
      <c r="A44" s="238"/>
      <c r="B44" s="238"/>
      <c r="C44" s="238"/>
      <c r="D44" s="238"/>
      <c r="E44" s="238"/>
      <c r="F44" s="238"/>
      <c r="G44" s="238"/>
      <c r="H44" s="238"/>
      <c r="I44" s="238"/>
      <c r="J44" s="238"/>
      <c r="K44" s="238"/>
      <c r="L44" s="238"/>
      <c r="M44" s="238"/>
      <c r="N44" s="238"/>
      <c r="O44" s="238"/>
      <c r="P44" s="238"/>
      <c r="Q44" s="238"/>
      <c r="R44" s="238"/>
      <c r="S44" s="238"/>
    </row>
    <row r="45" spans="1:19" ht="17.399999999999999" x14ac:dyDescent="0.3">
      <c r="A45" s="238" t="s">
        <v>15</v>
      </c>
      <c r="B45" s="238"/>
      <c r="C45" s="238"/>
      <c r="D45" s="238"/>
      <c r="E45" s="238"/>
      <c r="F45" s="238"/>
      <c r="G45" s="238"/>
      <c r="H45" s="238"/>
      <c r="I45" s="238"/>
      <c r="J45" s="238"/>
      <c r="K45" s="238"/>
      <c r="L45" s="238"/>
      <c r="M45" s="238"/>
      <c r="N45" s="238"/>
      <c r="O45" s="238"/>
      <c r="P45" s="238"/>
      <c r="Q45" s="238"/>
      <c r="R45" s="238"/>
      <c r="S45" s="238"/>
    </row>
    <row r="46" spans="1:19" ht="17.399999999999999" x14ac:dyDescent="0.3">
      <c r="A46" s="238" t="s">
        <v>616</v>
      </c>
      <c r="B46" s="238"/>
      <c r="C46" s="238"/>
      <c r="D46" s="238"/>
      <c r="E46" s="238"/>
      <c r="F46" s="238"/>
      <c r="G46" s="238"/>
      <c r="H46" s="238"/>
      <c r="I46" s="238"/>
      <c r="J46" s="238"/>
      <c r="K46" s="238"/>
      <c r="L46" s="238"/>
      <c r="M46" s="238"/>
      <c r="N46" s="238"/>
      <c r="O46" s="238"/>
      <c r="P46" s="238"/>
      <c r="Q46" s="238"/>
      <c r="R46" s="238"/>
      <c r="S46" s="238"/>
    </row>
    <row r="47" spans="1:19" x14ac:dyDescent="0.3">
      <c r="D47" s="45"/>
      <c r="E47" s="45"/>
      <c r="F47" s="45"/>
      <c r="G47" s="45"/>
      <c r="H47" s="45"/>
      <c r="I47" s="45"/>
    </row>
    <row r="48" spans="1:19" ht="17.399999999999999" x14ac:dyDescent="0.3">
      <c r="B48" s="237" t="s">
        <v>379</v>
      </c>
      <c r="C48" s="237"/>
      <c r="D48" s="237"/>
      <c r="E48" s="237"/>
      <c r="F48" s="237"/>
      <c r="G48" s="237"/>
      <c r="H48" s="237"/>
      <c r="I48" s="237"/>
      <c r="J48" s="237"/>
      <c r="K48" s="237"/>
      <c r="L48" s="237"/>
      <c r="M48" s="237"/>
      <c r="N48" s="237"/>
      <c r="O48" s="237"/>
      <c r="P48" s="237"/>
      <c r="Q48" s="237"/>
      <c r="R48" s="237"/>
    </row>
    <row r="50" spans="2:18" ht="18" x14ac:dyDescent="0.3">
      <c r="B50" s="279" t="s">
        <v>586</v>
      </c>
      <c r="C50" s="279"/>
      <c r="D50" s="191"/>
      <c r="E50" s="192"/>
      <c r="G50" s="279" t="s">
        <v>589</v>
      </c>
      <c r="H50" s="279"/>
      <c r="I50" s="191"/>
      <c r="J50" s="192"/>
      <c r="L50" s="279" t="s">
        <v>590</v>
      </c>
      <c r="M50" s="279"/>
      <c r="N50" s="191"/>
      <c r="O50" s="192"/>
    </row>
    <row r="52" spans="2:18" ht="18" x14ac:dyDescent="0.3">
      <c r="B52" s="279" t="s">
        <v>587</v>
      </c>
      <c r="C52" s="279"/>
      <c r="D52" s="191"/>
      <c r="E52" s="192"/>
      <c r="G52" s="279" t="s">
        <v>588</v>
      </c>
      <c r="H52" s="279"/>
      <c r="I52" s="191"/>
      <c r="J52" s="192"/>
      <c r="L52" s="279" t="s">
        <v>300</v>
      </c>
      <c r="M52" s="279"/>
      <c r="N52" s="191"/>
      <c r="O52" s="192"/>
    </row>
    <row r="55" spans="2:18" ht="17.399999999999999" x14ac:dyDescent="0.3">
      <c r="B55" s="237" t="s">
        <v>585</v>
      </c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37"/>
      <c r="O55" s="237"/>
      <c r="P55" s="237"/>
      <c r="Q55" s="237"/>
      <c r="R55" s="237"/>
    </row>
    <row r="56" spans="2:18" ht="17.399999999999999" x14ac:dyDescent="0.3"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</row>
    <row r="57" spans="2:18" ht="17.399999999999999" x14ac:dyDescent="0.3">
      <c r="D57" s="279" t="s">
        <v>26</v>
      </c>
      <c r="E57" s="279"/>
      <c r="G57" s="279" t="s">
        <v>380</v>
      </c>
      <c r="H57" s="279"/>
    </row>
    <row r="58" spans="2:18" x14ac:dyDescent="0.3">
      <c r="L58" s="31"/>
    </row>
    <row r="59" spans="2:18" ht="18" x14ac:dyDescent="0.3">
      <c r="B59" s="279" t="s">
        <v>381</v>
      </c>
      <c r="C59" s="279"/>
      <c r="D59" s="191"/>
      <c r="E59" s="192"/>
      <c r="G59" s="191"/>
      <c r="H59" s="192"/>
    </row>
    <row r="61" spans="2:18" ht="18" x14ac:dyDescent="0.3">
      <c r="B61" s="279" t="s">
        <v>382</v>
      </c>
      <c r="C61" s="279"/>
      <c r="D61" s="191"/>
      <c r="E61" s="192"/>
      <c r="G61" s="191"/>
      <c r="H61" s="192"/>
    </row>
    <row r="63" spans="2:18" ht="18" x14ac:dyDescent="0.3">
      <c r="B63" s="279" t="s">
        <v>383</v>
      </c>
      <c r="C63" s="279"/>
      <c r="D63" s="191"/>
      <c r="E63" s="192"/>
      <c r="G63" s="191"/>
      <c r="H63" s="192"/>
    </row>
    <row r="65" spans="2:18" ht="18" x14ac:dyDescent="0.3">
      <c r="B65" s="279" t="s">
        <v>384</v>
      </c>
      <c r="C65" s="279"/>
      <c r="D65" s="287"/>
      <c r="E65" s="287"/>
      <c r="F65" s="287"/>
      <c r="G65" s="287"/>
      <c r="H65" s="287"/>
    </row>
    <row r="67" spans="2:18" ht="17.399999999999999" customHeight="1" x14ac:dyDescent="0.3">
      <c r="B67" s="273" t="s">
        <v>385</v>
      </c>
      <c r="C67" s="273"/>
      <c r="D67" s="282"/>
      <c r="E67" s="282"/>
      <c r="F67" s="282"/>
      <c r="G67" s="282"/>
      <c r="H67" s="282"/>
      <c r="I67" s="282"/>
      <c r="J67" s="282"/>
      <c r="K67" s="282"/>
      <c r="L67" s="282"/>
      <c r="M67" s="282"/>
      <c r="N67" s="282"/>
      <c r="O67" s="282"/>
      <c r="P67" s="282"/>
      <c r="Q67" s="282"/>
      <c r="R67" s="282"/>
    </row>
    <row r="68" spans="2:18" x14ac:dyDescent="0.3">
      <c r="B68" s="273"/>
      <c r="C68" s="273"/>
      <c r="D68" s="282"/>
      <c r="E68" s="282"/>
      <c r="F68" s="282"/>
      <c r="G68" s="282"/>
      <c r="H68" s="282"/>
      <c r="I68" s="282"/>
      <c r="J68" s="282"/>
      <c r="K68" s="282"/>
      <c r="L68" s="282"/>
      <c r="M68" s="282"/>
      <c r="N68" s="282"/>
      <c r="O68" s="282"/>
      <c r="P68" s="282"/>
      <c r="Q68" s="282"/>
      <c r="R68" s="282"/>
    </row>
    <row r="69" spans="2:18" x14ac:dyDescent="0.3">
      <c r="D69" s="282"/>
      <c r="E69" s="282"/>
      <c r="F69" s="282"/>
      <c r="G69" s="282"/>
      <c r="H69" s="282"/>
      <c r="I69" s="282"/>
      <c r="J69" s="282"/>
      <c r="K69" s="282"/>
      <c r="L69" s="282"/>
      <c r="M69" s="282"/>
      <c r="N69" s="282"/>
      <c r="O69" s="282"/>
      <c r="P69" s="282"/>
      <c r="Q69" s="282"/>
      <c r="R69" s="282"/>
    </row>
    <row r="70" spans="2:18" x14ac:dyDescent="0.3">
      <c r="D70" s="282"/>
      <c r="E70" s="282"/>
      <c r="F70" s="282"/>
      <c r="G70" s="282"/>
      <c r="H70" s="282"/>
      <c r="I70" s="282"/>
      <c r="J70" s="282"/>
      <c r="K70" s="282"/>
      <c r="L70" s="282"/>
      <c r="M70" s="282"/>
      <c r="N70" s="282"/>
      <c r="O70" s="282"/>
      <c r="P70" s="282"/>
      <c r="Q70" s="282"/>
      <c r="R70" s="282"/>
    </row>
    <row r="71" spans="2:18" x14ac:dyDescent="0.3">
      <c r="D71" s="282"/>
      <c r="E71" s="282"/>
      <c r="F71" s="282"/>
      <c r="G71" s="282"/>
      <c r="H71" s="282"/>
      <c r="I71" s="282"/>
      <c r="J71" s="282"/>
      <c r="K71" s="282"/>
      <c r="L71" s="282"/>
      <c r="M71" s="282"/>
      <c r="N71" s="282"/>
      <c r="O71" s="282"/>
      <c r="P71" s="282"/>
      <c r="Q71" s="282"/>
      <c r="R71" s="282"/>
    </row>
    <row r="72" spans="2:18" x14ac:dyDescent="0.3">
      <c r="D72" s="282"/>
      <c r="E72" s="282"/>
      <c r="F72" s="282"/>
      <c r="G72" s="282"/>
      <c r="H72" s="282"/>
      <c r="I72" s="282"/>
      <c r="J72" s="282"/>
      <c r="K72" s="282"/>
      <c r="L72" s="282"/>
      <c r="M72" s="282"/>
      <c r="N72" s="282"/>
      <c r="O72" s="282"/>
      <c r="P72" s="282"/>
      <c r="Q72" s="282"/>
      <c r="R72" s="282"/>
    </row>
    <row r="73" spans="2:18" x14ac:dyDescent="0.3">
      <c r="D73" s="282"/>
      <c r="E73" s="282"/>
      <c r="F73" s="282"/>
      <c r="G73" s="282"/>
      <c r="H73" s="282"/>
      <c r="I73" s="282"/>
      <c r="J73" s="282"/>
      <c r="K73" s="282"/>
      <c r="L73" s="282"/>
      <c r="M73" s="282"/>
      <c r="N73" s="282"/>
      <c r="O73" s="282"/>
      <c r="P73" s="282"/>
      <c r="Q73" s="282"/>
      <c r="R73" s="282"/>
    </row>
    <row r="74" spans="2:18" x14ac:dyDescent="0.3">
      <c r="D74" s="282"/>
      <c r="E74" s="282"/>
      <c r="F74" s="282"/>
      <c r="G74" s="282"/>
      <c r="H74" s="282"/>
      <c r="I74" s="282"/>
      <c r="J74" s="282"/>
      <c r="K74" s="282"/>
      <c r="L74" s="282"/>
      <c r="M74" s="282"/>
      <c r="N74" s="282"/>
      <c r="O74" s="282"/>
      <c r="P74" s="282"/>
      <c r="Q74" s="282"/>
      <c r="R74" s="282"/>
    </row>
    <row r="75" spans="2:18" x14ac:dyDescent="0.3">
      <c r="D75" s="282"/>
      <c r="E75" s="282"/>
      <c r="F75" s="282"/>
      <c r="G75" s="282"/>
      <c r="H75" s="282"/>
      <c r="I75" s="282"/>
      <c r="J75" s="282"/>
      <c r="K75" s="282"/>
      <c r="L75" s="282"/>
      <c r="M75" s="282"/>
      <c r="N75" s="282"/>
      <c r="O75" s="282"/>
      <c r="P75" s="282"/>
      <c r="Q75" s="282"/>
      <c r="R75" s="282"/>
    </row>
    <row r="76" spans="2:18" x14ac:dyDescent="0.3">
      <c r="D76" s="282"/>
      <c r="E76" s="282"/>
      <c r="F76" s="282"/>
      <c r="G76" s="282"/>
      <c r="H76" s="282"/>
      <c r="I76" s="282"/>
      <c r="J76" s="282"/>
      <c r="K76" s="282"/>
      <c r="L76" s="282"/>
      <c r="M76" s="282"/>
      <c r="N76" s="282"/>
      <c r="O76" s="282"/>
      <c r="P76" s="282"/>
      <c r="Q76" s="282"/>
      <c r="R76" s="282"/>
    </row>
    <row r="77" spans="2:18" x14ac:dyDescent="0.3">
      <c r="D77" s="282"/>
      <c r="E77" s="282"/>
      <c r="F77" s="282"/>
      <c r="G77" s="282"/>
      <c r="H77" s="282"/>
      <c r="I77" s="282"/>
      <c r="J77" s="282"/>
      <c r="K77" s="282"/>
      <c r="L77" s="282"/>
      <c r="M77" s="282"/>
      <c r="N77" s="282"/>
      <c r="O77" s="282"/>
      <c r="P77" s="282"/>
      <c r="Q77" s="282"/>
      <c r="R77" s="282"/>
    </row>
    <row r="78" spans="2:18" x14ac:dyDescent="0.3">
      <c r="D78" s="282"/>
      <c r="E78" s="282"/>
      <c r="F78" s="282"/>
      <c r="G78" s="282"/>
      <c r="H78" s="282"/>
      <c r="I78" s="282"/>
      <c r="J78" s="282"/>
      <c r="K78" s="282"/>
      <c r="L78" s="282"/>
      <c r="M78" s="282"/>
      <c r="N78" s="282"/>
      <c r="O78" s="282"/>
      <c r="P78" s="282"/>
      <c r="Q78" s="282"/>
      <c r="R78" s="282"/>
    </row>
  </sheetData>
  <mergeCells count="79">
    <mergeCell ref="A1:S1"/>
    <mergeCell ref="A2:S2"/>
    <mergeCell ref="A3:S3"/>
    <mergeCell ref="D67:R78"/>
    <mergeCell ref="A44:S44"/>
    <mergeCell ref="A45:S45"/>
    <mergeCell ref="A46:S46"/>
    <mergeCell ref="L52:M52"/>
    <mergeCell ref="N52:O52"/>
    <mergeCell ref="B5:R5"/>
    <mergeCell ref="C7:D7"/>
    <mergeCell ref="B9:R9"/>
    <mergeCell ref="C13:D13"/>
    <mergeCell ref="C15:D15"/>
    <mergeCell ref="O7:P7"/>
    <mergeCell ref="K7:L7"/>
    <mergeCell ref="G7:H7"/>
    <mergeCell ref="C17:D17"/>
    <mergeCell ref="C19:D19"/>
    <mergeCell ref="B22:R22"/>
    <mergeCell ref="D24:E24"/>
    <mergeCell ref="B24:C24"/>
    <mergeCell ref="G24:H24"/>
    <mergeCell ref="I24:J24"/>
    <mergeCell ref="M24:N24"/>
    <mergeCell ref="Q24:R24"/>
    <mergeCell ref="Q26:R26"/>
    <mergeCell ref="B28:R28"/>
    <mergeCell ref="B32:C32"/>
    <mergeCell ref="B34:C34"/>
    <mergeCell ref="B36:C36"/>
    <mergeCell ref="B26:C26"/>
    <mergeCell ref="G26:H26"/>
    <mergeCell ref="D26:E26"/>
    <mergeCell ref="I26:J26"/>
    <mergeCell ref="M26:N26"/>
    <mergeCell ref="B38:C38"/>
    <mergeCell ref="B59:C59"/>
    <mergeCell ref="D42:E42"/>
    <mergeCell ref="G34:H34"/>
    <mergeCell ref="G36:H36"/>
    <mergeCell ref="G38:H38"/>
    <mergeCell ref="G40:H40"/>
    <mergeCell ref="G42:H42"/>
    <mergeCell ref="B42:C42"/>
    <mergeCell ref="D34:E34"/>
    <mergeCell ref="D36:E36"/>
    <mergeCell ref="D38:E38"/>
    <mergeCell ref="D40:E40"/>
    <mergeCell ref="B40:C40"/>
    <mergeCell ref="B48:R48"/>
    <mergeCell ref="D57:E57"/>
    <mergeCell ref="G57:H57"/>
    <mergeCell ref="D30:E30"/>
    <mergeCell ref="G30:H30"/>
    <mergeCell ref="D32:E32"/>
    <mergeCell ref="G32:H32"/>
    <mergeCell ref="B55:R55"/>
    <mergeCell ref="B50:C50"/>
    <mergeCell ref="D50:E50"/>
    <mergeCell ref="B52:C52"/>
    <mergeCell ref="D52:E52"/>
    <mergeCell ref="G52:H52"/>
    <mergeCell ref="I52:J52"/>
    <mergeCell ref="L50:M50"/>
    <mergeCell ref="N50:O50"/>
    <mergeCell ref="G50:H50"/>
    <mergeCell ref="I50:J50"/>
    <mergeCell ref="G59:H59"/>
    <mergeCell ref="D59:E59"/>
    <mergeCell ref="D61:E61"/>
    <mergeCell ref="D63:E63"/>
    <mergeCell ref="G61:H61"/>
    <mergeCell ref="G63:H63"/>
    <mergeCell ref="B67:C68"/>
    <mergeCell ref="D65:H65"/>
    <mergeCell ref="B61:C61"/>
    <mergeCell ref="B63:C63"/>
    <mergeCell ref="B65:C65"/>
  </mergeCells>
  <dataValidations count="9">
    <dataValidation type="list" allowBlank="1" showInputMessage="1" showErrorMessage="1" sqref="E7 I7 M7 Q7 E13 E15 E17 E19 G13 G15 G17 G19 D26:E26 D59:E59 D61:E61 D63:E63 D50:E50 D52:E52 I52:J52 N50:O50 I50:J50 N52:O52" xr:uid="{A1B0C371-A243-4C0B-B341-C34AB7E3D8CE}">
      <formula1>Condicional</formula1>
    </dataValidation>
    <dataValidation type="list" allowBlank="1" showInputMessage="1" showErrorMessage="1" sqref="D24:E24" xr:uid="{9860A688-B60D-4734-BF76-0A2BD161D232}">
      <formula1>UsoPred</formula1>
    </dataValidation>
    <dataValidation type="list" allowBlank="1" showInputMessage="1" showErrorMessage="1" sqref="I24:J24" xr:uid="{13FBB377-D1FF-464A-BCD2-44FB18D0920C}">
      <formula1>AreaActiv</formula1>
    </dataValidation>
    <dataValidation type="list" allowBlank="1" showInputMessage="1" showErrorMessage="1" sqref="M24:N24" xr:uid="{7D076518-CF2C-4588-B7D7-68E4861E2E6D}">
      <formula1>Demanda</formula1>
    </dataValidation>
    <dataValidation type="list" allowBlank="1" showInputMessage="1" showErrorMessage="1" sqref="Q24:R24" xr:uid="{D9834601-8417-41C3-83FB-B904252F69E0}">
      <formula1>Estrato</formula1>
    </dataValidation>
    <dataValidation type="list" allowBlank="1" showInputMessage="1" showErrorMessage="1" sqref="M26:N26" xr:uid="{7D46B629-14DB-4D4E-8A8B-5B00F688E493}">
      <formula1>Topografia</formula1>
    </dataValidation>
    <dataValidation type="list" allowBlank="1" showInputMessage="1" showErrorMessage="1" sqref="Q26:R26 I26:J26" xr:uid="{838C68A0-3CEE-4D76-BF6C-6A168485BD15}">
      <formula1>Transporte</formula1>
    </dataValidation>
    <dataValidation type="list" allowBlank="1" showInputMessage="1" showErrorMessage="1" sqref="D32:E32 D34:E34 D36:E36 D38:E38 D40:E40 D42:E42 G59:H59 G61:H61 G63:H63" xr:uid="{8166BB1C-CAC2-4FB6-BD5D-F5BA4D747D91}">
      <formula1>Nivel</formula1>
    </dataValidation>
    <dataValidation type="list" allowBlank="1" showInputMessage="1" showErrorMessage="1" sqref="G32:H32 G34:H34 G36:H36 G38:H38 G40:H40 G42:H42" xr:uid="{B8AC37F1-583C-4E5C-B91A-4E0C857B2AB9}">
      <formula1>Distancia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scale="60" fitToHeight="2" orientation="landscape" r:id="rId1"/>
  <rowBreaks count="1" manualBreakCount="1">
    <brk id="43" max="18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6B881-3C78-4BEA-A83D-CD53DAEC68DB}">
  <sheetPr codeName="Hoja9">
    <tabColor theme="0"/>
    <pageSetUpPr fitToPage="1"/>
  </sheetPr>
  <dimension ref="A1:S39"/>
  <sheetViews>
    <sheetView showGridLines="0" zoomScaleNormal="100" workbookViewId="0">
      <pane ySplit="1" topLeftCell="A2" activePane="bottomLeft" state="frozen"/>
      <selection activeCell="D37" sqref="D37:O45"/>
      <selection pane="bottomLeft" activeCell="D28" sqref="D28:R39"/>
    </sheetView>
  </sheetViews>
  <sheetFormatPr baseColWidth="10" defaultRowHeight="14.4" x14ac:dyDescent="0.3"/>
  <cols>
    <col min="1" max="1" width="1.5546875" customWidth="1"/>
    <col min="7" max="7" width="14.109375" customWidth="1"/>
    <col min="11" max="11" width="15.21875" customWidth="1"/>
    <col min="14" max="14" width="9.77734375" customWidth="1"/>
    <col min="19" max="19" width="4.21875" customWidth="1"/>
  </cols>
  <sheetData>
    <row r="1" spans="1:19" ht="14.4" customHeight="1" x14ac:dyDescent="0.3">
      <c r="A1" s="238"/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  <c r="S1" s="238"/>
    </row>
    <row r="2" spans="1:19" ht="14.4" customHeight="1" x14ac:dyDescent="0.3">
      <c r="A2" s="238" t="s">
        <v>15</v>
      </c>
      <c r="B2" s="238"/>
      <c r="C2" s="238"/>
      <c r="D2" s="238"/>
      <c r="E2" s="238"/>
      <c r="F2" s="238"/>
      <c r="G2" s="238"/>
      <c r="H2" s="238"/>
      <c r="I2" s="238"/>
      <c r="J2" s="238"/>
      <c r="K2" s="238"/>
      <c r="L2" s="238"/>
      <c r="M2" s="238"/>
      <c r="N2" s="238"/>
      <c r="O2" s="238"/>
      <c r="P2" s="238"/>
      <c r="Q2" s="238"/>
      <c r="R2" s="238"/>
      <c r="S2" s="238"/>
    </row>
    <row r="3" spans="1:19" ht="14.4" customHeight="1" x14ac:dyDescent="0.3">
      <c r="A3" s="238" t="s">
        <v>616</v>
      </c>
      <c r="B3" s="238"/>
      <c r="C3" s="238"/>
      <c r="D3" s="238"/>
      <c r="E3" s="238"/>
      <c r="F3" s="238"/>
      <c r="G3" s="238"/>
      <c r="H3" s="238"/>
      <c r="I3" s="238"/>
      <c r="J3" s="238"/>
      <c r="K3" s="238"/>
      <c r="L3" s="238"/>
      <c r="M3" s="238"/>
      <c r="N3" s="238"/>
      <c r="O3" s="238"/>
      <c r="P3" s="238"/>
      <c r="Q3" s="238"/>
      <c r="R3" s="238"/>
      <c r="S3" s="238"/>
    </row>
    <row r="5" spans="1:19" ht="17.399999999999999" x14ac:dyDescent="0.3">
      <c r="B5" s="237" t="s">
        <v>405</v>
      </c>
      <c r="C5" s="237"/>
      <c r="D5" s="237"/>
      <c r="E5" s="237"/>
      <c r="F5" s="237"/>
      <c r="G5" s="237"/>
      <c r="H5" s="237"/>
      <c r="I5" s="237"/>
      <c r="J5" s="237"/>
      <c r="K5" s="237"/>
      <c r="L5" s="237"/>
      <c r="M5" s="237"/>
      <c r="N5" s="237"/>
      <c r="O5" s="237"/>
      <c r="P5" s="237"/>
      <c r="Q5" s="237"/>
      <c r="R5" s="237"/>
    </row>
    <row r="7" spans="1:19" ht="16.8" customHeight="1" x14ac:dyDescent="0.3">
      <c r="B7" s="273" t="s">
        <v>485</v>
      </c>
      <c r="C7" s="273"/>
      <c r="D7" s="287"/>
      <c r="E7" s="287"/>
      <c r="G7" s="16" t="s">
        <v>454</v>
      </c>
      <c r="H7" s="287"/>
      <c r="I7" s="287"/>
      <c r="K7" s="273" t="s">
        <v>486</v>
      </c>
      <c r="L7" s="287"/>
      <c r="M7" s="287"/>
      <c r="O7" s="273" t="s">
        <v>489</v>
      </c>
      <c r="P7" s="246"/>
      <c r="Q7" s="287"/>
      <c r="R7" s="287"/>
    </row>
    <row r="8" spans="1:19" ht="16.8" customHeight="1" x14ac:dyDescent="0.3">
      <c r="B8" s="273"/>
      <c r="C8" s="273"/>
      <c r="K8" s="273"/>
    </row>
    <row r="10" spans="1:19" ht="16.8" customHeight="1" x14ac:dyDescent="0.3">
      <c r="B10" s="273" t="s">
        <v>465</v>
      </c>
      <c r="D10" s="287"/>
      <c r="E10" s="287"/>
    </row>
    <row r="11" spans="1:19" ht="16.2" customHeight="1" x14ac:dyDescent="0.3">
      <c r="B11" s="273"/>
    </row>
    <row r="13" spans="1:19" ht="16.8" customHeight="1" x14ac:dyDescent="0.3">
      <c r="B13" s="256" t="s">
        <v>510</v>
      </c>
      <c r="C13" s="256"/>
      <c r="D13" s="292"/>
      <c r="E13" s="292"/>
      <c r="G13" s="273" t="s">
        <v>511</v>
      </c>
      <c r="H13" s="287"/>
      <c r="I13" s="287"/>
      <c r="K13" s="18" t="s">
        <v>468</v>
      </c>
      <c r="L13" s="287"/>
      <c r="M13" s="287"/>
      <c r="O13" s="273" t="s">
        <v>512</v>
      </c>
      <c r="P13" s="273"/>
      <c r="Q13" s="287"/>
      <c r="R13" s="287"/>
    </row>
    <row r="14" spans="1:19" ht="17.399999999999999" customHeight="1" x14ac:dyDescent="0.3">
      <c r="B14" s="18"/>
      <c r="C14" s="18"/>
      <c r="G14" s="273"/>
      <c r="K14" s="18"/>
      <c r="O14" s="273"/>
      <c r="P14" s="273"/>
    </row>
    <row r="16" spans="1:19" ht="17.399999999999999" customHeight="1" x14ac:dyDescent="0.3">
      <c r="B16" s="273" t="s">
        <v>513</v>
      </c>
      <c r="C16" s="246"/>
      <c r="D16" s="229"/>
      <c r="E16" s="231"/>
      <c r="G16" s="18" t="s">
        <v>470</v>
      </c>
      <c r="H16" s="287"/>
      <c r="I16" s="287"/>
      <c r="K16" s="273" t="s">
        <v>471</v>
      </c>
      <c r="L16" s="293"/>
      <c r="M16" s="293"/>
      <c r="O16" s="273" t="s">
        <v>514</v>
      </c>
      <c r="P16" s="246"/>
      <c r="Q16" s="229"/>
      <c r="R16" s="231"/>
    </row>
    <row r="17" spans="2:18" ht="14.4" customHeight="1" x14ac:dyDescent="0.3">
      <c r="B17" s="18"/>
      <c r="C17" s="18"/>
      <c r="K17" s="273"/>
    </row>
    <row r="18" spans="2:18" ht="18" x14ac:dyDescent="0.3">
      <c r="B18" s="273" t="s">
        <v>515</v>
      </c>
      <c r="C18" s="246"/>
      <c r="D18" s="229"/>
      <c r="E18" s="231"/>
      <c r="G18" s="273" t="s">
        <v>516</v>
      </c>
      <c r="H18" s="287"/>
      <c r="I18" s="287"/>
    </row>
    <row r="19" spans="2:18" ht="17.399999999999999" customHeight="1" x14ac:dyDescent="0.3">
      <c r="G19" s="273"/>
    </row>
    <row r="20" spans="2:18" ht="17.399999999999999" customHeight="1" x14ac:dyDescent="0.3">
      <c r="G20" s="273"/>
    </row>
    <row r="22" spans="2:18" ht="17.399999999999999" customHeight="1" x14ac:dyDescent="0.3">
      <c r="B22" s="273" t="s">
        <v>517</v>
      </c>
      <c r="C22" s="273"/>
      <c r="D22" s="294"/>
      <c r="E22" s="294"/>
      <c r="G22" s="295" t="s">
        <v>518</v>
      </c>
      <c r="H22" s="296"/>
      <c r="I22" s="296"/>
      <c r="K22" s="295" t="s">
        <v>519</v>
      </c>
      <c r="L22" s="296"/>
      <c r="M22" s="296"/>
    </row>
    <row r="23" spans="2:18" ht="20.399999999999999" customHeight="1" x14ac:dyDescent="0.3">
      <c r="G23" s="295"/>
      <c r="H23" s="18"/>
      <c r="K23" s="295"/>
    </row>
    <row r="24" spans="2:18" x14ac:dyDescent="0.3">
      <c r="K24" s="295"/>
    </row>
    <row r="26" spans="2:18" ht="14.4" customHeight="1" x14ac:dyDescent="0.3">
      <c r="B26" s="295" t="s">
        <v>481</v>
      </c>
      <c r="C26" s="295"/>
      <c r="D26" s="287"/>
      <c r="E26" s="287"/>
      <c r="G26" s="18" t="s">
        <v>520</v>
      </c>
      <c r="H26" s="297"/>
      <c r="I26" s="297"/>
      <c r="K26" s="18" t="s">
        <v>521</v>
      </c>
      <c r="L26" s="298"/>
      <c r="M26" s="298"/>
    </row>
    <row r="28" spans="2:18" ht="19.2" customHeight="1" x14ac:dyDescent="0.3">
      <c r="B28" s="295" t="s">
        <v>522</v>
      </c>
      <c r="C28" s="295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</row>
    <row r="29" spans="2:18" ht="18" customHeight="1" x14ac:dyDescent="0.3">
      <c r="B29" s="295"/>
      <c r="C29" s="295"/>
      <c r="D29" s="282"/>
      <c r="E29" s="282"/>
      <c r="F29" s="282"/>
      <c r="G29" s="282"/>
      <c r="H29" s="282"/>
      <c r="I29" s="282"/>
      <c r="J29" s="282"/>
      <c r="K29" s="282"/>
      <c r="L29" s="282"/>
      <c r="M29" s="282"/>
      <c r="N29" s="282"/>
      <c r="O29" s="282"/>
      <c r="P29" s="282"/>
      <c r="Q29" s="282"/>
      <c r="R29" s="282"/>
    </row>
    <row r="30" spans="2:18" ht="15.6" customHeight="1" x14ac:dyDescent="0.3">
      <c r="D30" s="282"/>
      <c r="E30" s="282"/>
      <c r="F30" s="282"/>
      <c r="G30" s="282"/>
      <c r="H30" s="282"/>
      <c r="I30" s="282"/>
      <c r="J30" s="282"/>
      <c r="K30" s="282"/>
      <c r="L30" s="282"/>
      <c r="M30" s="282"/>
      <c r="N30" s="282"/>
      <c r="O30" s="282"/>
      <c r="P30" s="282"/>
      <c r="Q30" s="282"/>
      <c r="R30" s="282"/>
    </row>
    <row r="31" spans="2:18" ht="15.6" customHeight="1" x14ac:dyDescent="0.3">
      <c r="D31" s="282"/>
      <c r="E31" s="282"/>
      <c r="F31" s="282"/>
      <c r="G31" s="282"/>
      <c r="H31" s="282"/>
      <c r="I31" s="282"/>
      <c r="J31" s="282"/>
      <c r="K31" s="282"/>
      <c r="L31" s="282"/>
      <c r="M31" s="282"/>
      <c r="N31" s="282"/>
      <c r="O31" s="282"/>
      <c r="P31" s="282"/>
      <c r="Q31" s="282"/>
      <c r="R31" s="282"/>
    </row>
    <row r="32" spans="2:18" ht="15.6" customHeight="1" x14ac:dyDescent="0.3">
      <c r="D32" s="282"/>
      <c r="E32" s="282"/>
      <c r="F32" s="282"/>
      <c r="G32" s="282"/>
      <c r="H32" s="282"/>
      <c r="I32" s="282"/>
      <c r="J32" s="282"/>
      <c r="K32" s="282"/>
      <c r="L32" s="282"/>
      <c r="M32" s="282"/>
      <c r="N32" s="282"/>
      <c r="O32" s="282"/>
      <c r="P32" s="282"/>
      <c r="Q32" s="282"/>
      <c r="R32" s="282"/>
    </row>
    <row r="33" spans="4:18" ht="15.6" customHeight="1" x14ac:dyDescent="0.3">
      <c r="D33" s="282"/>
      <c r="E33" s="282"/>
      <c r="F33" s="282"/>
      <c r="G33" s="282"/>
      <c r="H33" s="282"/>
      <c r="I33" s="282"/>
      <c r="J33" s="282"/>
      <c r="K33" s="282"/>
      <c r="L33" s="282"/>
      <c r="M33" s="282"/>
      <c r="N33" s="282"/>
      <c r="O33" s="282"/>
      <c r="P33" s="282"/>
      <c r="Q33" s="282"/>
      <c r="R33" s="282"/>
    </row>
    <row r="34" spans="4:18" ht="15.6" customHeight="1" x14ac:dyDescent="0.3">
      <c r="D34" s="282"/>
      <c r="E34" s="282"/>
      <c r="F34" s="282"/>
      <c r="G34" s="282"/>
      <c r="H34" s="282"/>
      <c r="I34" s="282"/>
      <c r="J34" s="282"/>
      <c r="K34" s="282"/>
      <c r="L34" s="282"/>
      <c r="M34" s="282"/>
      <c r="N34" s="282"/>
      <c r="O34" s="282"/>
      <c r="P34" s="282"/>
      <c r="Q34" s="282"/>
      <c r="R34" s="282"/>
    </row>
    <row r="35" spans="4:18" ht="15.6" customHeight="1" x14ac:dyDescent="0.3">
      <c r="D35" s="282"/>
      <c r="E35" s="282"/>
      <c r="F35" s="282"/>
      <c r="G35" s="282"/>
      <c r="H35" s="282"/>
      <c r="I35" s="282"/>
      <c r="J35" s="282"/>
      <c r="K35" s="282"/>
      <c r="L35" s="282"/>
      <c r="M35" s="282"/>
      <c r="N35" s="282"/>
      <c r="O35" s="282"/>
      <c r="P35" s="282"/>
      <c r="Q35" s="282"/>
      <c r="R35" s="282"/>
    </row>
    <row r="36" spans="4:18" ht="15.6" customHeight="1" x14ac:dyDescent="0.3">
      <c r="D36" s="282"/>
      <c r="E36" s="282"/>
      <c r="F36" s="282"/>
      <c r="G36" s="282"/>
      <c r="H36" s="282"/>
      <c r="I36" s="282"/>
      <c r="J36" s="282"/>
      <c r="K36" s="282"/>
      <c r="L36" s="282"/>
      <c r="M36" s="282"/>
      <c r="N36" s="282"/>
      <c r="O36" s="282"/>
      <c r="P36" s="282"/>
      <c r="Q36" s="282"/>
      <c r="R36" s="282"/>
    </row>
    <row r="37" spans="4:18" x14ac:dyDescent="0.3">
      <c r="D37" s="282"/>
      <c r="E37" s="282"/>
      <c r="F37" s="282"/>
      <c r="G37" s="282"/>
      <c r="H37" s="282"/>
      <c r="I37" s="282"/>
      <c r="J37" s="282"/>
      <c r="K37" s="282"/>
      <c r="L37" s="282"/>
      <c r="M37" s="282"/>
      <c r="N37" s="282"/>
      <c r="O37" s="282"/>
      <c r="P37" s="282"/>
      <c r="Q37" s="282"/>
      <c r="R37" s="282"/>
    </row>
    <row r="38" spans="4:18" x14ac:dyDescent="0.3">
      <c r="D38" s="282"/>
      <c r="E38" s="282"/>
      <c r="F38" s="282"/>
      <c r="G38" s="282"/>
      <c r="H38" s="282"/>
      <c r="I38" s="282"/>
      <c r="J38" s="282"/>
      <c r="K38" s="282"/>
      <c r="L38" s="282"/>
      <c r="M38" s="282"/>
      <c r="N38" s="282"/>
      <c r="O38" s="282"/>
      <c r="P38" s="282"/>
      <c r="Q38" s="282"/>
      <c r="R38" s="282"/>
    </row>
    <row r="39" spans="4:18" x14ac:dyDescent="0.3">
      <c r="D39" s="282"/>
      <c r="E39" s="282"/>
      <c r="F39" s="282"/>
      <c r="G39" s="282"/>
      <c r="H39" s="282"/>
      <c r="I39" s="282"/>
      <c r="J39" s="282"/>
      <c r="K39" s="282"/>
      <c r="L39" s="282"/>
      <c r="M39" s="282"/>
      <c r="N39" s="282"/>
      <c r="O39" s="282"/>
      <c r="P39" s="282"/>
      <c r="Q39" s="282"/>
      <c r="R39" s="282"/>
    </row>
  </sheetData>
  <mergeCells count="43">
    <mergeCell ref="A1:S1"/>
    <mergeCell ref="A2:S2"/>
    <mergeCell ref="A3:S3"/>
    <mergeCell ref="D28:R39"/>
    <mergeCell ref="B28:C29"/>
    <mergeCell ref="K22:K24"/>
    <mergeCell ref="L22:M22"/>
    <mergeCell ref="B26:C26"/>
    <mergeCell ref="D26:E26"/>
    <mergeCell ref="H26:I26"/>
    <mergeCell ref="L26:M26"/>
    <mergeCell ref="B18:C18"/>
    <mergeCell ref="D18:E18"/>
    <mergeCell ref="G18:G20"/>
    <mergeCell ref="H18:I18"/>
    <mergeCell ref="B22:C22"/>
    <mergeCell ref="D22:E22"/>
    <mergeCell ref="G22:G23"/>
    <mergeCell ref="H22:I22"/>
    <mergeCell ref="Q13:R13"/>
    <mergeCell ref="O13:P14"/>
    <mergeCell ref="B16:C16"/>
    <mergeCell ref="D16:E16"/>
    <mergeCell ref="H16:I16"/>
    <mergeCell ref="L16:M16"/>
    <mergeCell ref="Q16:R16"/>
    <mergeCell ref="K16:K17"/>
    <mergeCell ref="O16:P16"/>
    <mergeCell ref="B10:B11"/>
    <mergeCell ref="D10:E10"/>
    <mergeCell ref="B13:C13"/>
    <mergeCell ref="D13:E13"/>
    <mergeCell ref="B5:R5"/>
    <mergeCell ref="B7:C8"/>
    <mergeCell ref="D7:E7"/>
    <mergeCell ref="H7:I7"/>
    <mergeCell ref="K7:K8"/>
    <mergeCell ref="L7:M7"/>
    <mergeCell ref="Q7:R7"/>
    <mergeCell ref="O7:P7"/>
    <mergeCell ref="G13:G14"/>
    <mergeCell ref="H13:I13"/>
    <mergeCell ref="L13:M13"/>
  </mergeCells>
  <dataValidations count="9">
    <dataValidation type="list" allowBlank="1" showInputMessage="1" showErrorMessage="1" sqref="D7:E7" xr:uid="{AC94A6DC-1FE0-4F99-8698-E1E29FB8B112}">
      <formula1>Estado</formula1>
    </dataValidation>
    <dataValidation type="list" allowBlank="1" showInputMessage="1" showErrorMessage="1" sqref="H7:I7" xr:uid="{3BA0C739-4149-4232-BEED-65E3AFD63AEB}">
      <formula1>Estructura</formula1>
    </dataValidation>
    <dataValidation type="list" allowBlank="1" showInputMessage="1" showErrorMessage="1" sqref="L7:M7 Q7:R7 H13:I13 Q13:R13" xr:uid="{C4015039-89C5-4E37-8836-419E6A03381E}">
      <formula1>Condicional2</formula1>
    </dataValidation>
    <dataValidation type="list" allowBlank="1" showInputMessage="1" showErrorMessage="1" sqref="D10:E10" xr:uid="{0BB39C5F-1986-4520-AC46-3C600AAD40A4}">
      <formula1>TipEstructura</formula1>
    </dataValidation>
    <dataValidation type="list" allowBlank="1" showInputMessage="1" showErrorMessage="1" sqref="L13:M13" xr:uid="{361F4A4E-88DE-4E2C-9587-530A2255F09F}">
      <formula1>Cubierta</formula1>
    </dataValidation>
    <dataValidation type="list" allowBlank="1" showInputMessage="1" showErrorMessage="1" sqref="D16:E16 Q16:R16 D18:E18 L26:M26" xr:uid="{89D18315-44F2-47D4-A00F-D71271DAE731}">
      <formula1>Condicional</formula1>
    </dataValidation>
    <dataValidation type="list" allowBlank="1" showInputMessage="1" showErrorMessage="1" sqref="H16:I16" xr:uid="{0F099A1A-F968-4513-A35D-5E8B001D6AB2}">
      <formula1>Fachada</formula1>
    </dataValidation>
    <dataValidation type="list" allowBlank="1" showInputMessage="1" showErrorMessage="1" sqref="L16:M16" xr:uid="{5D436995-9332-4DC1-8BCB-6D6BB9782C12}">
      <formula1>AnchoFachada</formula1>
    </dataValidation>
    <dataValidation type="list" allowBlank="1" showInputMessage="1" showErrorMessage="1" sqref="D26:E26" xr:uid="{DEC8401E-06FE-4736-BDB4-0AF1E2EC96DA}">
      <formula1>EstadoConstruccion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scale="6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61209-92E0-4A7C-A3B7-91E64A109464}">
  <sheetPr codeName="Hoja4"/>
  <dimension ref="A1:W31"/>
  <sheetViews>
    <sheetView showGridLines="0" zoomScale="90" zoomScaleNormal="90" workbookViewId="0">
      <selection activeCell="O22" sqref="O22"/>
    </sheetView>
  </sheetViews>
  <sheetFormatPr baseColWidth="10" defaultRowHeight="14.4" x14ac:dyDescent="0.3"/>
  <cols>
    <col min="1" max="1" width="4.88671875" bestFit="1" customWidth="1"/>
    <col min="2" max="2" width="18" customWidth="1"/>
    <col min="3" max="3" width="5.5546875" customWidth="1"/>
    <col min="4" max="4" width="16.5546875" customWidth="1"/>
    <col min="5" max="5" width="6.88671875" customWidth="1"/>
    <col min="6" max="6" width="15.33203125" customWidth="1"/>
    <col min="7" max="7" width="5.88671875" customWidth="1"/>
    <col min="8" max="8" width="16.44140625" customWidth="1"/>
    <col min="9" max="9" width="10" customWidth="1"/>
    <col min="10" max="10" width="12.6640625" customWidth="1"/>
    <col min="11" max="11" width="13.5546875" customWidth="1"/>
    <col min="12" max="12" width="16" customWidth="1"/>
    <col min="13" max="13" width="12.33203125" customWidth="1"/>
    <col min="14" max="14" width="6.44140625" customWidth="1"/>
    <col min="15" max="15" width="15.44140625" customWidth="1"/>
    <col min="16" max="16" width="10.5546875" customWidth="1"/>
    <col min="21" max="21" width="12.88671875" customWidth="1"/>
    <col min="22" max="22" width="19.6640625" customWidth="1"/>
    <col min="23" max="23" width="19.33203125" customWidth="1"/>
  </cols>
  <sheetData>
    <row r="1" spans="1:23" ht="21.6" thickBot="1" x14ac:dyDescent="0.45">
      <c r="Q1" s="89">
        <v>0.3</v>
      </c>
      <c r="R1" s="89">
        <v>0.2</v>
      </c>
      <c r="S1" s="89">
        <v>0.2</v>
      </c>
      <c r="T1" s="89">
        <v>0.2</v>
      </c>
      <c r="U1" s="89">
        <v>0.1</v>
      </c>
      <c r="V1" s="90">
        <f>SUM(Q1:U1)</f>
        <v>0.99999999999999989</v>
      </c>
    </row>
    <row r="2" spans="1:23" s="95" customFormat="1" ht="24" thickTop="1" thickBot="1" x14ac:dyDescent="0.25">
      <c r="A2" s="91" t="s">
        <v>617</v>
      </c>
      <c r="B2" s="92" t="s">
        <v>618</v>
      </c>
      <c r="C2" s="92" t="s">
        <v>619</v>
      </c>
      <c r="D2" s="92" t="s">
        <v>620</v>
      </c>
      <c r="E2" s="92" t="s">
        <v>621</v>
      </c>
      <c r="F2" s="93" t="s">
        <v>622</v>
      </c>
      <c r="G2" s="92" t="s">
        <v>623</v>
      </c>
      <c r="H2" s="92" t="s">
        <v>624</v>
      </c>
      <c r="I2" s="92" t="s">
        <v>625</v>
      </c>
      <c r="J2" s="92" t="s">
        <v>626</v>
      </c>
      <c r="K2" s="93" t="s">
        <v>627</v>
      </c>
      <c r="L2" s="93" t="s">
        <v>628</v>
      </c>
      <c r="M2" s="92" t="s">
        <v>629</v>
      </c>
      <c r="N2" s="92" t="s">
        <v>630</v>
      </c>
      <c r="O2" s="92" t="s">
        <v>631</v>
      </c>
      <c r="P2" s="92" t="s">
        <v>632</v>
      </c>
      <c r="Q2" s="94" t="s">
        <v>633</v>
      </c>
      <c r="R2" s="94" t="s">
        <v>634</v>
      </c>
      <c r="S2" s="94" t="s">
        <v>635</v>
      </c>
      <c r="T2" s="94" t="s">
        <v>636</v>
      </c>
      <c r="U2" s="94" t="s">
        <v>637</v>
      </c>
      <c r="V2" s="93" t="s">
        <v>638</v>
      </c>
      <c r="W2" s="93" t="s">
        <v>639</v>
      </c>
    </row>
    <row r="3" spans="1:23" ht="15" thickTop="1" x14ac:dyDescent="0.3">
      <c r="A3" s="96">
        <v>1</v>
      </c>
      <c r="B3" s="97" t="s">
        <v>640</v>
      </c>
      <c r="C3" s="96">
        <v>1</v>
      </c>
      <c r="D3" s="98">
        <v>170000000</v>
      </c>
      <c r="E3" s="96">
        <v>0.95</v>
      </c>
      <c r="F3" s="99">
        <f t="shared" ref="F3:F8" si="0">D3*E3</f>
        <v>161500000</v>
      </c>
      <c r="G3" s="96"/>
      <c r="H3" s="100">
        <v>0</v>
      </c>
      <c r="I3" s="96"/>
      <c r="J3" s="100">
        <v>0</v>
      </c>
      <c r="K3" s="99">
        <f t="shared" ref="K3:K8" si="1">(H3*G3)+(J3*I3)</f>
        <v>0</v>
      </c>
      <c r="L3" s="101">
        <f t="shared" ref="L3:L8" si="2">IF(P3=0,0,(F3-K3)/P3)</f>
        <v>2925194.7111030612</v>
      </c>
      <c r="M3" s="97">
        <v>3118567536</v>
      </c>
      <c r="N3" s="96">
        <v>25</v>
      </c>
      <c r="O3" s="96">
        <v>55.21</v>
      </c>
      <c r="P3" s="96">
        <v>55.21</v>
      </c>
      <c r="Q3" s="96">
        <v>1</v>
      </c>
      <c r="R3" s="96">
        <v>1</v>
      </c>
      <c r="S3" s="96">
        <v>1</v>
      </c>
      <c r="T3" s="96">
        <v>1</v>
      </c>
      <c r="U3" s="96">
        <v>1</v>
      </c>
      <c r="V3" s="96">
        <f t="shared" ref="V3:V8" si="3">(Q3*$Q$1)+(R3*$R$1)+(S3*$S$1)+(T3*$T$1)+(U3*$U$1)</f>
        <v>0.99999999999999989</v>
      </c>
      <c r="W3" s="101">
        <f t="shared" ref="W3:W8" si="4">V3*L3</f>
        <v>2925194.7111030607</v>
      </c>
    </row>
    <row r="4" spans="1:23" x14ac:dyDescent="0.3">
      <c r="A4" s="102">
        <v>2</v>
      </c>
      <c r="B4" s="103" t="s">
        <v>641</v>
      </c>
      <c r="C4" s="102">
        <v>5</v>
      </c>
      <c r="D4" s="104">
        <v>153000000</v>
      </c>
      <c r="E4" s="102">
        <v>0.95</v>
      </c>
      <c r="F4" s="105">
        <f t="shared" si="0"/>
        <v>145350000</v>
      </c>
      <c r="G4" s="102"/>
      <c r="H4" s="106">
        <v>0</v>
      </c>
      <c r="I4" s="96"/>
      <c r="J4" s="100">
        <v>0</v>
      </c>
      <c r="K4" s="99">
        <f t="shared" si="1"/>
        <v>0</v>
      </c>
      <c r="L4" s="101">
        <f t="shared" si="2"/>
        <v>2703180.212014134</v>
      </c>
      <c r="M4" s="103">
        <v>3176437752</v>
      </c>
      <c r="N4" s="102">
        <v>25</v>
      </c>
      <c r="O4" s="96">
        <v>53.77</v>
      </c>
      <c r="P4" s="96">
        <v>53.77</v>
      </c>
      <c r="Q4" s="102">
        <v>1.05</v>
      </c>
      <c r="R4" s="102">
        <v>1</v>
      </c>
      <c r="S4" s="102">
        <v>1.05</v>
      </c>
      <c r="T4" s="102">
        <v>1</v>
      </c>
      <c r="U4" s="102">
        <v>1</v>
      </c>
      <c r="V4" s="96">
        <f t="shared" si="3"/>
        <v>1.0250000000000001</v>
      </c>
      <c r="W4" s="101">
        <f t="shared" si="4"/>
        <v>2770759.7173144878</v>
      </c>
    </row>
    <row r="5" spans="1:23" x14ac:dyDescent="0.3">
      <c r="A5" s="102">
        <v>3</v>
      </c>
      <c r="B5" s="103" t="s">
        <v>641</v>
      </c>
      <c r="C5" s="102">
        <v>1</v>
      </c>
      <c r="D5" s="104">
        <v>190000000</v>
      </c>
      <c r="E5" s="102">
        <v>0.95</v>
      </c>
      <c r="F5" s="105">
        <f t="shared" si="0"/>
        <v>180500000</v>
      </c>
      <c r="G5" s="102"/>
      <c r="H5" s="106">
        <v>0</v>
      </c>
      <c r="I5" s="96"/>
      <c r="J5" s="100">
        <v>0</v>
      </c>
      <c r="K5" s="99">
        <f t="shared" si="1"/>
        <v>0</v>
      </c>
      <c r="L5" s="101">
        <f t="shared" si="2"/>
        <v>2578571.4285714286</v>
      </c>
      <c r="M5" s="103">
        <v>3209820076</v>
      </c>
      <c r="N5" s="102">
        <v>25</v>
      </c>
      <c r="O5" s="96">
        <v>70</v>
      </c>
      <c r="P5" s="96">
        <v>70</v>
      </c>
      <c r="Q5" s="102">
        <v>1.05</v>
      </c>
      <c r="R5" s="102">
        <v>1</v>
      </c>
      <c r="S5" s="102">
        <v>1</v>
      </c>
      <c r="T5" s="102">
        <v>1</v>
      </c>
      <c r="U5" s="102">
        <v>1</v>
      </c>
      <c r="V5" s="96">
        <f t="shared" si="3"/>
        <v>1.0150000000000001</v>
      </c>
      <c r="W5" s="101">
        <f t="shared" si="4"/>
        <v>2617250.0000000005</v>
      </c>
    </row>
    <row r="6" spans="1:23" x14ac:dyDescent="0.3">
      <c r="A6" s="102">
        <v>4</v>
      </c>
      <c r="B6" s="103" t="s">
        <v>641</v>
      </c>
      <c r="C6" s="102">
        <v>1</v>
      </c>
      <c r="D6" s="104">
        <v>150000000</v>
      </c>
      <c r="E6" s="102">
        <v>0.95</v>
      </c>
      <c r="F6" s="105">
        <f t="shared" si="0"/>
        <v>142500000</v>
      </c>
      <c r="G6" s="102"/>
      <c r="H6" s="106">
        <v>0</v>
      </c>
      <c r="I6" s="96"/>
      <c r="J6" s="100">
        <v>0</v>
      </c>
      <c r="K6" s="99">
        <f t="shared" si="1"/>
        <v>0</v>
      </c>
      <c r="L6" s="101">
        <f t="shared" si="2"/>
        <v>2688679.2452830188</v>
      </c>
      <c r="M6" s="103">
        <v>6014431111</v>
      </c>
      <c r="N6" s="102">
        <v>25</v>
      </c>
      <c r="O6" s="102">
        <v>53</v>
      </c>
      <c r="P6" s="96">
        <v>53</v>
      </c>
      <c r="Q6" s="102">
        <v>1.05</v>
      </c>
      <c r="R6" s="102">
        <v>1</v>
      </c>
      <c r="S6" s="102">
        <v>1</v>
      </c>
      <c r="T6" s="102">
        <v>1</v>
      </c>
      <c r="U6" s="102">
        <v>1</v>
      </c>
      <c r="V6" s="96">
        <f t="shared" si="3"/>
        <v>1.0150000000000001</v>
      </c>
      <c r="W6" s="101">
        <f t="shared" si="4"/>
        <v>2729009.4339622646</v>
      </c>
    </row>
    <row r="7" spans="1:23" x14ac:dyDescent="0.3">
      <c r="A7" s="102">
        <v>5</v>
      </c>
      <c r="B7" s="103"/>
      <c r="C7" s="102"/>
      <c r="D7" s="104">
        <v>0</v>
      </c>
      <c r="E7" s="102"/>
      <c r="F7" s="105">
        <f t="shared" si="0"/>
        <v>0</v>
      </c>
      <c r="G7" s="102"/>
      <c r="H7" s="106">
        <v>0</v>
      </c>
      <c r="I7" s="96"/>
      <c r="J7" s="100">
        <v>0</v>
      </c>
      <c r="K7" s="99">
        <f t="shared" si="1"/>
        <v>0</v>
      </c>
      <c r="L7" s="101">
        <f t="shared" si="2"/>
        <v>0</v>
      </c>
      <c r="M7" s="103"/>
      <c r="N7" s="102"/>
      <c r="O7" s="102"/>
      <c r="P7" s="96"/>
      <c r="Q7" s="102">
        <v>1</v>
      </c>
      <c r="R7" s="102">
        <v>1</v>
      </c>
      <c r="S7" s="102">
        <v>1</v>
      </c>
      <c r="T7" s="102">
        <v>1</v>
      </c>
      <c r="U7" s="102">
        <v>1</v>
      </c>
      <c r="V7" s="96">
        <f t="shared" si="3"/>
        <v>0.99999999999999989</v>
      </c>
      <c r="W7" s="101">
        <f t="shared" si="4"/>
        <v>0</v>
      </c>
    </row>
    <row r="8" spans="1:23" ht="15" thickBot="1" x14ac:dyDescent="0.35">
      <c r="A8" s="102">
        <v>6</v>
      </c>
      <c r="B8" s="103"/>
      <c r="C8" s="102"/>
      <c r="D8" s="104">
        <v>0</v>
      </c>
      <c r="E8" s="102"/>
      <c r="F8" s="105">
        <f t="shared" si="0"/>
        <v>0</v>
      </c>
      <c r="G8" s="102"/>
      <c r="H8" s="106">
        <v>0</v>
      </c>
      <c r="I8" s="102"/>
      <c r="J8" s="106">
        <v>0</v>
      </c>
      <c r="K8" s="99">
        <f t="shared" si="1"/>
        <v>0</v>
      </c>
      <c r="L8" s="101">
        <f t="shared" si="2"/>
        <v>0</v>
      </c>
      <c r="M8" s="103"/>
      <c r="N8" s="102"/>
      <c r="O8" s="102"/>
      <c r="P8" s="102"/>
      <c r="Q8" s="102">
        <v>1</v>
      </c>
      <c r="R8" s="102">
        <v>1</v>
      </c>
      <c r="S8" s="102">
        <v>1</v>
      </c>
      <c r="T8" s="102">
        <v>1</v>
      </c>
      <c r="U8" s="102">
        <v>1</v>
      </c>
      <c r="V8" s="96">
        <f t="shared" si="3"/>
        <v>0.99999999999999989</v>
      </c>
      <c r="W8" s="101">
        <f t="shared" si="4"/>
        <v>0</v>
      </c>
    </row>
    <row r="9" spans="1:23" ht="15.6" thickTop="1" thickBot="1" x14ac:dyDescent="0.35">
      <c r="M9" t="s">
        <v>580</v>
      </c>
      <c r="N9" s="107"/>
      <c r="V9" s="108" t="s">
        <v>642</v>
      </c>
      <c r="W9" s="109">
        <v>4</v>
      </c>
    </row>
    <row r="10" spans="1:23" ht="15.6" thickTop="1" thickBot="1" x14ac:dyDescent="0.35">
      <c r="V10" s="108" t="s">
        <v>643</v>
      </c>
      <c r="W10" s="110">
        <f>AVERAGE(W3:W6)</f>
        <v>2760553.4655949534</v>
      </c>
    </row>
    <row r="11" spans="1:23" ht="16.5" customHeight="1" thickTop="1" thickBot="1" x14ac:dyDescent="0.35">
      <c r="V11" s="111" t="s">
        <v>644</v>
      </c>
      <c r="W11" s="110">
        <f>STDEV(W3:W6)</f>
        <v>127464.78792172541</v>
      </c>
    </row>
    <row r="12" spans="1:23" ht="16.5" customHeight="1" thickTop="1" thickBot="1" x14ac:dyDescent="0.35">
      <c r="V12" s="111" t="s">
        <v>645</v>
      </c>
      <c r="W12" s="112">
        <f>W11/W10</f>
        <v>4.6173634928767533E-2</v>
      </c>
    </row>
    <row r="13" spans="1:23" ht="15.6" thickTop="1" thickBot="1" x14ac:dyDescent="0.35"/>
    <row r="14" spans="1:23" ht="16.5" customHeight="1" thickTop="1" thickBot="1" x14ac:dyDescent="0.35">
      <c r="V14" s="111" t="s">
        <v>646</v>
      </c>
      <c r="W14" s="113">
        <f>W10</f>
        <v>2760553.4655949534</v>
      </c>
    </row>
    <row r="15" spans="1:23" ht="15.6" thickTop="1" thickBot="1" x14ac:dyDescent="0.35">
      <c r="V15" s="111" t="s">
        <v>632</v>
      </c>
      <c r="W15" s="114">
        <v>55.21</v>
      </c>
    </row>
    <row r="16" spans="1:23" ht="15.6" thickTop="1" thickBot="1" x14ac:dyDescent="0.35">
      <c r="V16" s="111" t="s">
        <v>647</v>
      </c>
      <c r="W16" s="114">
        <v>55.21</v>
      </c>
    </row>
    <row r="17" spans="7:23" ht="15.6" thickTop="1" thickBot="1" x14ac:dyDescent="0.35"/>
    <row r="18" spans="7:23" ht="15.6" thickTop="1" thickBot="1" x14ac:dyDescent="0.35">
      <c r="V18" s="115" t="s">
        <v>648</v>
      </c>
      <c r="W18" s="115" t="s">
        <v>649</v>
      </c>
    </row>
    <row r="19" spans="7:23" ht="16.5" customHeight="1" thickTop="1" thickBot="1" x14ac:dyDescent="0.35">
      <c r="U19" s="114" t="s">
        <v>650</v>
      </c>
      <c r="V19" s="116">
        <f>W10+W11</f>
        <v>2888018.2535166787</v>
      </c>
      <c r="W19" s="113">
        <f>V19*W15</f>
        <v>159447487.77665582</v>
      </c>
    </row>
    <row r="20" spans="7:23" ht="16.5" customHeight="1" thickTop="1" thickBot="1" x14ac:dyDescent="0.35">
      <c r="U20" s="114" t="s">
        <v>651</v>
      </c>
      <c r="V20" s="113">
        <f>W10-W11</f>
        <v>2633088.6776732281</v>
      </c>
      <c r="W20" s="113">
        <f>V20*W15</f>
        <v>145372825.89433894</v>
      </c>
    </row>
    <row r="21" spans="7:23" ht="15.6" thickTop="1" thickBot="1" x14ac:dyDescent="0.35"/>
    <row r="22" spans="7:23" ht="19.2" thickTop="1" thickBot="1" x14ac:dyDescent="0.4">
      <c r="V22" s="117" t="s">
        <v>652</v>
      </c>
      <c r="W22" s="118">
        <f>W14*W15</f>
        <v>152410156.83549738</v>
      </c>
    </row>
    <row r="23" spans="7:23" ht="15" thickTop="1" x14ac:dyDescent="0.3"/>
    <row r="24" spans="7:23" ht="15" thickBot="1" x14ac:dyDescent="0.35"/>
    <row r="25" spans="7:23" ht="45" customHeight="1" thickTop="1" thickBot="1" x14ac:dyDescent="0.35">
      <c r="G25" s="302" t="s">
        <v>653</v>
      </c>
      <c r="H25" s="302"/>
      <c r="I25" s="304" t="s">
        <v>654</v>
      </c>
      <c r="J25" s="305"/>
      <c r="K25" s="305"/>
      <c r="L25" s="305"/>
      <c r="M25" s="305"/>
      <c r="N25" s="305"/>
    </row>
    <row r="26" spans="7:23" ht="43.5" customHeight="1" thickTop="1" thickBot="1" x14ac:dyDescent="0.35">
      <c r="G26" s="302" t="s">
        <v>655</v>
      </c>
      <c r="H26" s="302"/>
      <c r="I26" s="304" t="s">
        <v>656</v>
      </c>
      <c r="J26" s="305"/>
      <c r="K26" s="305"/>
      <c r="L26" s="305"/>
      <c r="M26" s="305"/>
      <c r="N26" s="305"/>
    </row>
    <row r="27" spans="7:23" ht="40.5" customHeight="1" thickTop="1" thickBot="1" x14ac:dyDescent="0.35">
      <c r="G27" s="302" t="s">
        <v>657</v>
      </c>
      <c r="H27" s="302"/>
      <c r="I27" s="299" t="s">
        <v>658</v>
      </c>
      <c r="J27" s="300"/>
      <c r="K27" s="300"/>
      <c r="L27" s="300"/>
      <c r="M27" s="300"/>
      <c r="N27" s="301"/>
    </row>
    <row r="28" spans="7:23" ht="51.75" customHeight="1" thickTop="1" thickBot="1" x14ac:dyDescent="0.35">
      <c r="G28" s="302" t="s">
        <v>659</v>
      </c>
      <c r="H28" s="302"/>
      <c r="I28" s="299" t="s">
        <v>660</v>
      </c>
      <c r="J28" s="300"/>
      <c r="K28" s="300"/>
      <c r="L28" s="300"/>
      <c r="M28" s="300"/>
      <c r="N28" s="301"/>
    </row>
    <row r="29" spans="7:23" ht="42.75" customHeight="1" thickTop="1" thickBot="1" x14ac:dyDescent="0.35">
      <c r="G29" s="302" t="s">
        <v>661</v>
      </c>
      <c r="H29" s="302"/>
      <c r="I29" s="299"/>
      <c r="J29" s="300"/>
      <c r="K29" s="300"/>
      <c r="L29" s="300"/>
      <c r="M29" s="300"/>
      <c r="N29" s="301"/>
    </row>
    <row r="30" spans="7:23" ht="15.6" thickTop="1" thickBot="1" x14ac:dyDescent="0.35">
      <c r="G30" s="302" t="s">
        <v>662</v>
      </c>
      <c r="H30" s="302"/>
      <c r="I30" s="303"/>
      <c r="J30" s="303"/>
      <c r="K30" s="303"/>
      <c r="L30" s="303"/>
      <c r="M30" s="303"/>
      <c r="N30" s="303"/>
    </row>
    <row r="31" spans="7:23" ht="15" thickTop="1" x14ac:dyDescent="0.3"/>
  </sheetData>
  <mergeCells count="12">
    <mergeCell ref="G25:H25"/>
    <mergeCell ref="G26:H26"/>
    <mergeCell ref="G27:H27"/>
    <mergeCell ref="I25:N25"/>
    <mergeCell ref="I26:N26"/>
    <mergeCell ref="I27:N27"/>
    <mergeCell ref="I29:N29"/>
    <mergeCell ref="G29:H29"/>
    <mergeCell ref="G30:H30"/>
    <mergeCell ref="I30:N30"/>
    <mergeCell ref="G28:H28"/>
    <mergeCell ref="I28:N28"/>
  </mergeCells>
  <hyperlinks>
    <hyperlink ref="I25" r:id="rId1" display="https://www.metrocuadrado.com/inmueble/venta-apartamento-bogota-ciudad-salitre-occidental-3-habitaciones-2-banos-1-garajes/10930-109135" xr:uid="{6DE6BCF7-290E-4E9F-A1AD-42F1246D9048}"/>
    <hyperlink ref="I26" r:id="rId2" xr:uid="{2B1C1C14-323D-4089-B1BD-78032EE05878}"/>
    <hyperlink ref="I27" r:id="rId3" xr:uid="{7501F605-2884-4366-BF15-EC35A4FB3FA2}"/>
    <hyperlink ref="I28" r:id="rId4" xr:uid="{F84F9D95-2483-41A7-8157-F45A19D566C1}"/>
  </hyperlinks>
  <pageMargins left="0.7" right="0.7" top="0.75" bottom="0.75" header="0.3" footer="0.3"/>
  <pageSetup paperSize="9" orientation="portrait" horizontalDpi="200" verticalDpi="200" r:id="rId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413D6-B270-49A6-88E9-E81D5A3EBA46}">
  <sheetPr codeName="Hoja12"/>
  <dimension ref="A1:P30"/>
  <sheetViews>
    <sheetView showGridLines="0" zoomScale="85" zoomScaleNormal="85" workbookViewId="0">
      <selection activeCell="O22" sqref="O22"/>
    </sheetView>
  </sheetViews>
  <sheetFormatPr baseColWidth="10" defaultRowHeight="14.4" x14ac:dyDescent="0.3"/>
  <cols>
    <col min="1" max="1" width="4.6640625" customWidth="1"/>
    <col min="2" max="2" width="14.44140625" customWidth="1"/>
    <col min="3" max="3" width="16.44140625" customWidth="1"/>
    <col min="4" max="4" width="6.44140625" customWidth="1"/>
    <col min="5" max="5" width="14.33203125" customWidth="1"/>
    <col min="6" max="6" width="11.44140625" customWidth="1"/>
    <col min="7" max="7" width="9.44140625" bestFit="1" customWidth="1"/>
    <col min="8" max="8" width="15.109375" customWidth="1"/>
    <col min="9" max="10" width="15.33203125" customWidth="1"/>
    <col min="11" max="11" width="15.88671875" customWidth="1"/>
    <col min="12" max="12" width="15.33203125" customWidth="1"/>
    <col min="15" max="15" width="17.44140625" customWidth="1"/>
    <col min="16" max="16" width="17.109375" customWidth="1"/>
  </cols>
  <sheetData>
    <row r="1" spans="1:16" ht="21.6" thickBot="1" x14ac:dyDescent="0.45">
      <c r="M1" s="119">
        <v>0.55000000000000004</v>
      </c>
      <c r="N1" s="119">
        <v>0.45</v>
      </c>
      <c r="O1" s="120">
        <f>SUM(M1:N1)</f>
        <v>1</v>
      </c>
    </row>
    <row r="2" spans="1:16" s="95" customFormat="1" ht="31.8" thickTop="1" thickBot="1" x14ac:dyDescent="0.25">
      <c r="A2" s="91" t="s">
        <v>617</v>
      </c>
      <c r="B2" s="92" t="s">
        <v>618</v>
      </c>
      <c r="C2" s="92" t="s">
        <v>620</v>
      </c>
      <c r="D2" s="92" t="s">
        <v>621</v>
      </c>
      <c r="E2" s="93" t="s">
        <v>622</v>
      </c>
      <c r="F2" s="92" t="s">
        <v>629</v>
      </c>
      <c r="G2" s="92" t="s">
        <v>663</v>
      </c>
      <c r="H2" s="92" t="s">
        <v>631</v>
      </c>
      <c r="I2" s="92" t="s">
        <v>664</v>
      </c>
      <c r="J2" s="93" t="s">
        <v>665</v>
      </c>
      <c r="K2" s="93" t="s">
        <v>666</v>
      </c>
      <c r="L2" s="93" t="s">
        <v>667</v>
      </c>
      <c r="M2" s="121" t="s">
        <v>668</v>
      </c>
      <c r="N2" s="121" t="s">
        <v>669</v>
      </c>
      <c r="O2" s="93" t="s">
        <v>670</v>
      </c>
      <c r="P2" s="93" t="s">
        <v>639</v>
      </c>
    </row>
    <row r="3" spans="1:16" ht="15" thickTop="1" x14ac:dyDescent="0.3">
      <c r="A3" s="96">
        <v>1</v>
      </c>
      <c r="B3" s="97" t="s">
        <v>641</v>
      </c>
      <c r="C3" s="122">
        <v>675000000</v>
      </c>
      <c r="D3" s="123">
        <v>0.95</v>
      </c>
      <c r="E3" s="99">
        <f t="shared" ref="E3:E8" si="0">C3*D3</f>
        <v>641250000</v>
      </c>
      <c r="F3" s="96">
        <v>3054175592</v>
      </c>
      <c r="G3" s="96">
        <v>136.5</v>
      </c>
      <c r="H3" s="96">
        <v>250</v>
      </c>
      <c r="I3" s="124">
        <v>1180000</v>
      </c>
      <c r="J3" s="99">
        <f t="shared" ref="J3:J8" si="1">I3*H3</f>
        <v>295000000</v>
      </c>
      <c r="K3" s="99">
        <f t="shared" ref="K3:K8" si="2">E3-J3</f>
        <v>346250000</v>
      </c>
      <c r="L3" s="101">
        <f>K3/G3</f>
        <v>2536630.0366300368</v>
      </c>
      <c r="M3" s="96">
        <v>1</v>
      </c>
      <c r="N3" s="96">
        <v>1</v>
      </c>
      <c r="O3" s="96">
        <f t="shared" ref="O3:O8" si="3">(M3*$M$1)+(N3*$N$1)</f>
        <v>1</v>
      </c>
      <c r="P3" s="124">
        <f t="shared" ref="P3:P8" si="4">O3*L3</f>
        <v>2536630.0366300368</v>
      </c>
    </row>
    <row r="4" spans="1:16" x14ac:dyDescent="0.3">
      <c r="A4" s="102">
        <v>2</v>
      </c>
      <c r="B4" s="103" t="s">
        <v>641</v>
      </c>
      <c r="C4" s="125">
        <v>650000000</v>
      </c>
      <c r="D4" s="126">
        <v>0.95</v>
      </c>
      <c r="E4" s="127">
        <f t="shared" si="0"/>
        <v>617500000</v>
      </c>
      <c r="F4" s="96">
        <v>3176437752</v>
      </c>
      <c r="G4" s="102">
        <v>168</v>
      </c>
      <c r="H4" s="102">
        <v>250</v>
      </c>
      <c r="I4" s="128">
        <v>780000</v>
      </c>
      <c r="J4" s="127">
        <f t="shared" si="1"/>
        <v>195000000</v>
      </c>
      <c r="K4" s="127">
        <f t="shared" si="2"/>
        <v>422500000</v>
      </c>
      <c r="L4" s="101">
        <f>K4/G4</f>
        <v>2514880.9523809524</v>
      </c>
      <c r="M4" s="102">
        <v>1</v>
      </c>
      <c r="N4" s="102">
        <v>1</v>
      </c>
      <c r="O4" s="96">
        <f t="shared" si="3"/>
        <v>1</v>
      </c>
      <c r="P4" s="124">
        <f t="shared" si="4"/>
        <v>2514880.9523809524</v>
      </c>
    </row>
    <row r="5" spans="1:16" x14ac:dyDescent="0.3">
      <c r="A5" s="102">
        <v>3</v>
      </c>
      <c r="B5" s="103" t="s">
        <v>641</v>
      </c>
      <c r="C5" s="125">
        <v>650000000</v>
      </c>
      <c r="D5" s="126">
        <v>0.95</v>
      </c>
      <c r="E5" s="127">
        <f t="shared" si="0"/>
        <v>617500000</v>
      </c>
      <c r="F5" s="96">
        <v>3214690279</v>
      </c>
      <c r="G5" s="102">
        <v>172.5</v>
      </c>
      <c r="H5" s="102">
        <v>250</v>
      </c>
      <c r="I5" s="128">
        <v>780000</v>
      </c>
      <c r="J5" s="127">
        <f t="shared" si="1"/>
        <v>195000000</v>
      </c>
      <c r="K5" s="127">
        <f t="shared" si="2"/>
        <v>422500000</v>
      </c>
      <c r="L5" s="101">
        <f>K5/G5</f>
        <v>2449275.3623188408</v>
      </c>
      <c r="M5" s="102">
        <v>1</v>
      </c>
      <c r="N5" s="102">
        <v>1</v>
      </c>
      <c r="O5" s="96">
        <f t="shared" si="3"/>
        <v>1</v>
      </c>
      <c r="P5" s="124">
        <f t="shared" si="4"/>
        <v>2449275.3623188408</v>
      </c>
    </row>
    <row r="6" spans="1:16" x14ac:dyDescent="0.3">
      <c r="A6" s="102">
        <v>4</v>
      </c>
      <c r="B6" s="103" t="s">
        <v>641</v>
      </c>
      <c r="C6" s="125">
        <v>680000000</v>
      </c>
      <c r="D6" s="126">
        <v>0.95</v>
      </c>
      <c r="E6" s="127">
        <f t="shared" si="0"/>
        <v>646000000</v>
      </c>
      <c r="F6" s="96">
        <v>3115737472</v>
      </c>
      <c r="G6" s="102">
        <v>161</v>
      </c>
      <c r="H6" s="102">
        <v>274</v>
      </c>
      <c r="I6" s="128">
        <v>850000</v>
      </c>
      <c r="J6" s="127">
        <f t="shared" si="1"/>
        <v>232900000</v>
      </c>
      <c r="K6" s="127">
        <f t="shared" si="2"/>
        <v>413100000</v>
      </c>
      <c r="L6" s="101">
        <f>K6/G6</f>
        <v>2565838.5093167704</v>
      </c>
      <c r="M6" s="102">
        <v>1</v>
      </c>
      <c r="N6" s="102">
        <v>1</v>
      </c>
      <c r="O6" s="96">
        <f t="shared" si="3"/>
        <v>1</v>
      </c>
      <c r="P6" s="124">
        <f t="shared" si="4"/>
        <v>2565838.5093167704</v>
      </c>
    </row>
    <row r="7" spans="1:16" x14ac:dyDescent="0.3">
      <c r="A7" s="102">
        <v>5</v>
      </c>
      <c r="B7" s="103" t="s">
        <v>641</v>
      </c>
      <c r="C7" s="125">
        <v>900000000</v>
      </c>
      <c r="D7" s="126">
        <v>0.95</v>
      </c>
      <c r="E7" s="127">
        <f t="shared" si="0"/>
        <v>855000000</v>
      </c>
      <c r="F7" s="96">
        <v>3163895368</v>
      </c>
      <c r="G7" s="102">
        <v>180</v>
      </c>
      <c r="H7" s="102">
        <v>360</v>
      </c>
      <c r="I7" s="128">
        <v>1100000</v>
      </c>
      <c r="J7" s="127">
        <f t="shared" si="1"/>
        <v>396000000</v>
      </c>
      <c r="K7" s="127">
        <f t="shared" si="2"/>
        <v>459000000</v>
      </c>
      <c r="L7" s="101">
        <f>K7/G7</f>
        <v>2550000</v>
      </c>
      <c r="M7" s="102">
        <v>1</v>
      </c>
      <c r="N7" s="102">
        <v>1</v>
      </c>
      <c r="O7" s="96">
        <f t="shared" si="3"/>
        <v>1</v>
      </c>
      <c r="P7" s="124">
        <f t="shared" si="4"/>
        <v>2550000</v>
      </c>
    </row>
    <row r="8" spans="1:16" ht="15" thickBot="1" x14ac:dyDescent="0.35">
      <c r="A8" s="102">
        <v>6</v>
      </c>
      <c r="B8" s="103"/>
      <c r="C8" s="125"/>
      <c r="D8" s="126"/>
      <c r="E8" s="127">
        <f t="shared" si="0"/>
        <v>0</v>
      </c>
      <c r="F8" s="96"/>
      <c r="G8" s="102"/>
      <c r="H8" s="102"/>
      <c r="I8" s="128"/>
      <c r="J8" s="127">
        <f t="shared" si="1"/>
        <v>0</v>
      </c>
      <c r="K8" s="127">
        <f t="shared" si="2"/>
        <v>0</v>
      </c>
      <c r="L8" s="101"/>
      <c r="M8" s="102"/>
      <c r="N8" s="102"/>
      <c r="O8" s="96">
        <f t="shared" si="3"/>
        <v>0</v>
      </c>
      <c r="P8" s="124">
        <f t="shared" si="4"/>
        <v>0</v>
      </c>
    </row>
    <row r="9" spans="1:16" ht="15.6" thickTop="1" thickBot="1" x14ac:dyDescent="0.35">
      <c r="N9" s="306" t="s">
        <v>671</v>
      </c>
      <c r="O9" s="306"/>
      <c r="P9" s="114">
        <v>5</v>
      </c>
    </row>
    <row r="10" spans="1:16" ht="15.6" thickTop="1" thickBot="1" x14ac:dyDescent="0.35">
      <c r="N10" s="306" t="s">
        <v>643</v>
      </c>
      <c r="O10" s="306"/>
      <c r="P10" s="113">
        <f>AVERAGE(P3:P7)</f>
        <v>2523324.9721293203</v>
      </c>
    </row>
    <row r="11" spans="1:16" ht="15.6" thickTop="1" thickBot="1" x14ac:dyDescent="0.35">
      <c r="N11" s="306" t="s">
        <v>644</v>
      </c>
      <c r="O11" s="306"/>
      <c r="P11" s="110">
        <f>STDEV(P3:P7)</f>
        <v>45416.486213856173</v>
      </c>
    </row>
    <row r="12" spans="1:16" ht="15.6" thickTop="1" thickBot="1" x14ac:dyDescent="0.35">
      <c r="N12" s="306" t="s">
        <v>645</v>
      </c>
      <c r="O12" s="306"/>
      <c r="P12" s="112">
        <f>P11/P10</f>
        <v>1.7998667121948721E-2</v>
      </c>
    </row>
    <row r="13" spans="1:16" ht="15.6" thickTop="1" thickBot="1" x14ac:dyDescent="0.35"/>
    <row r="14" spans="1:16" ht="15.6" thickTop="1" thickBot="1" x14ac:dyDescent="0.35">
      <c r="N14" s="306" t="s">
        <v>663</v>
      </c>
      <c r="O14" s="306"/>
      <c r="P14" s="129">
        <v>161.25</v>
      </c>
    </row>
    <row r="15" spans="1:16" ht="15.6" thickTop="1" thickBot="1" x14ac:dyDescent="0.35">
      <c r="N15" s="307" t="s">
        <v>672</v>
      </c>
      <c r="O15" s="307"/>
      <c r="P15" s="113">
        <f>P10</f>
        <v>2523324.9721293203</v>
      </c>
    </row>
    <row r="16" spans="1:16" ht="15.6" thickTop="1" thickBot="1" x14ac:dyDescent="0.35">
      <c r="N16" s="306" t="s">
        <v>649</v>
      </c>
      <c r="O16" s="306"/>
      <c r="P16" s="130">
        <f>P15*P14</f>
        <v>406886151.75585288</v>
      </c>
    </row>
    <row r="17" spans="5:16" ht="15.6" thickTop="1" thickBot="1" x14ac:dyDescent="0.35"/>
    <row r="18" spans="5:16" ht="15.6" thickTop="1" thickBot="1" x14ac:dyDescent="0.35">
      <c r="N18" s="306" t="s">
        <v>631</v>
      </c>
      <c r="O18" s="306"/>
      <c r="P18" s="114">
        <v>273.99</v>
      </c>
    </row>
    <row r="19" spans="5:16" ht="15.6" thickTop="1" thickBot="1" x14ac:dyDescent="0.35">
      <c r="N19" s="306" t="s">
        <v>672</v>
      </c>
      <c r="O19" s="306"/>
      <c r="P19" s="131">
        <v>930000</v>
      </c>
    </row>
    <row r="20" spans="5:16" ht="15.6" thickTop="1" thickBot="1" x14ac:dyDescent="0.35">
      <c r="N20" s="306" t="s">
        <v>649</v>
      </c>
      <c r="O20" s="306"/>
      <c r="P20" s="110">
        <f>P19*P18</f>
        <v>254810700</v>
      </c>
    </row>
    <row r="21" spans="5:16" ht="15" thickTop="1" x14ac:dyDescent="0.3"/>
    <row r="23" spans="5:16" ht="15" thickBot="1" x14ac:dyDescent="0.35"/>
    <row r="24" spans="5:16" ht="33.75" customHeight="1" thickTop="1" thickBot="1" x14ac:dyDescent="0.35">
      <c r="E24" s="302" t="s">
        <v>653</v>
      </c>
      <c r="F24" s="302"/>
      <c r="G24" s="299" t="s">
        <v>673</v>
      </c>
      <c r="H24" s="300"/>
      <c r="I24" s="300"/>
      <c r="J24" s="300"/>
      <c r="K24" s="300"/>
      <c r="L24" s="301"/>
    </row>
    <row r="25" spans="5:16" ht="37.5" customHeight="1" thickTop="1" thickBot="1" x14ac:dyDescent="0.35">
      <c r="E25" s="302" t="s">
        <v>655</v>
      </c>
      <c r="F25" s="302"/>
      <c r="G25" s="304" t="s">
        <v>674</v>
      </c>
      <c r="H25" s="305"/>
      <c r="I25" s="305"/>
      <c r="J25" s="305"/>
      <c r="K25" s="305"/>
      <c r="L25" s="305"/>
    </row>
    <row r="26" spans="5:16" ht="42.75" customHeight="1" thickTop="1" thickBot="1" x14ac:dyDescent="0.35">
      <c r="E26" s="302" t="s">
        <v>657</v>
      </c>
      <c r="F26" s="302"/>
      <c r="G26" s="304" t="s">
        <v>675</v>
      </c>
      <c r="H26" s="305"/>
      <c r="I26" s="305"/>
      <c r="J26" s="305"/>
      <c r="K26" s="305"/>
      <c r="L26" s="305"/>
    </row>
    <row r="27" spans="5:16" ht="44.25" customHeight="1" thickTop="1" thickBot="1" x14ac:dyDescent="0.35">
      <c r="E27" s="302" t="s">
        <v>659</v>
      </c>
      <c r="F27" s="302"/>
      <c r="G27" s="304" t="s">
        <v>676</v>
      </c>
      <c r="H27" s="305"/>
      <c r="I27" s="305"/>
      <c r="J27" s="305"/>
      <c r="K27" s="305"/>
      <c r="L27" s="305"/>
    </row>
    <row r="28" spans="5:16" ht="43.5" customHeight="1" thickTop="1" thickBot="1" x14ac:dyDescent="0.35">
      <c r="E28" s="302" t="s">
        <v>661</v>
      </c>
      <c r="F28" s="302"/>
      <c r="G28" s="304" t="s">
        <v>677</v>
      </c>
      <c r="H28" s="305"/>
      <c r="I28" s="305"/>
      <c r="J28" s="305"/>
      <c r="K28" s="305"/>
      <c r="L28" s="305"/>
    </row>
    <row r="29" spans="5:16" ht="15.6" thickTop="1" thickBot="1" x14ac:dyDescent="0.35">
      <c r="E29" s="302" t="s">
        <v>662</v>
      </c>
      <c r="F29" s="302"/>
      <c r="G29" s="303"/>
      <c r="H29" s="303"/>
      <c r="I29" s="303"/>
      <c r="J29" s="303"/>
      <c r="K29" s="303"/>
      <c r="L29" s="303"/>
    </row>
    <row r="30" spans="5:16" ht="15" thickTop="1" x14ac:dyDescent="0.3"/>
  </sheetData>
  <mergeCells count="22">
    <mergeCell ref="E26:F26"/>
    <mergeCell ref="G26:L26"/>
    <mergeCell ref="E28:F28"/>
    <mergeCell ref="G28:L28"/>
    <mergeCell ref="E29:F29"/>
    <mergeCell ref="G29:L29"/>
    <mergeCell ref="E27:F27"/>
    <mergeCell ref="G27:L27"/>
    <mergeCell ref="N9:O9"/>
    <mergeCell ref="E24:F24"/>
    <mergeCell ref="G24:L24"/>
    <mergeCell ref="E25:F25"/>
    <mergeCell ref="G25:L25"/>
    <mergeCell ref="N18:O18"/>
    <mergeCell ref="N19:O19"/>
    <mergeCell ref="N20:O20"/>
    <mergeCell ref="N10:O10"/>
    <mergeCell ref="N11:O11"/>
    <mergeCell ref="N12:O12"/>
    <mergeCell ref="N14:O14"/>
    <mergeCell ref="N15:O15"/>
    <mergeCell ref="N16:O16"/>
  </mergeCells>
  <hyperlinks>
    <hyperlink ref="G24" r:id="rId1" xr:uid="{572908C0-8A5A-4A46-96A4-2CC3C116A479}"/>
    <hyperlink ref="G25" r:id="rId2" xr:uid="{D7CA6613-5505-4144-86A2-36F681F3CC3B}"/>
    <hyperlink ref="G26" r:id="rId3" xr:uid="{958E8868-5FFC-4CDC-9C15-4E6CDDD63719}"/>
    <hyperlink ref="G27" r:id="rId4" xr:uid="{5B8A1531-5870-4734-A44E-06B1BB0C982D}"/>
    <hyperlink ref="G28" r:id="rId5" xr:uid="{375F72D4-5DB8-4DE6-B6D2-1AD5646527F4}"/>
  </hyperlinks>
  <pageMargins left="0.7" right="0.7" top="0.75" bottom="0.75" header="0.3" footer="0.3"/>
  <pageSetup paperSize="9" orientation="portrait" horizontalDpi="200" verticalDpi="200" r:id="rId6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30396-2A5F-4C98-8BF4-D60F94AB3DC4}">
  <sheetPr codeName="Hoja15"/>
  <dimension ref="A1:HQ32"/>
  <sheetViews>
    <sheetView showGridLines="0" topLeftCell="A4" zoomScale="90" zoomScaleNormal="90" workbookViewId="0">
      <selection activeCell="J27" sqref="J27"/>
    </sheetView>
  </sheetViews>
  <sheetFormatPr baseColWidth="10" defaultColWidth="11.6640625" defaultRowHeight="13.2" x14ac:dyDescent="0.25"/>
  <cols>
    <col min="1" max="1" width="0.88671875" style="132" customWidth="1"/>
    <col min="2" max="2" width="11.6640625" style="132" customWidth="1"/>
    <col min="3" max="3" width="17" style="132" customWidth="1"/>
    <col min="4" max="4" width="9" style="132" customWidth="1"/>
    <col min="5" max="5" width="13.5546875" style="132" customWidth="1"/>
    <col min="6" max="6" width="9.88671875" style="132" customWidth="1"/>
    <col min="7" max="7" width="16.88671875" style="132" customWidth="1"/>
    <col min="8" max="8" width="18" style="132" customWidth="1"/>
    <col min="9" max="224" width="11.44140625" style="132" customWidth="1"/>
    <col min="225" max="16384" width="11.6640625" style="132"/>
  </cols>
  <sheetData>
    <row r="1" spans="1:225" x14ac:dyDescent="0.25">
      <c r="B1" s="338" t="s">
        <v>725</v>
      </c>
      <c r="C1" s="338"/>
      <c r="D1" s="338"/>
      <c r="E1" s="338"/>
      <c r="F1" s="338"/>
      <c r="G1" s="338"/>
      <c r="H1" s="338"/>
    </row>
    <row r="2" spans="1:225" x14ac:dyDescent="0.25">
      <c r="B2" s="338"/>
      <c r="C2" s="338"/>
      <c r="D2" s="338"/>
      <c r="E2" s="338"/>
      <c r="F2" s="338"/>
      <c r="G2" s="338"/>
      <c r="H2" s="338"/>
    </row>
    <row r="3" spans="1:225" x14ac:dyDescent="0.25">
      <c r="B3" s="170"/>
      <c r="C3" s="170"/>
      <c r="D3" s="170"/>
      <c r="E3" s="170"/>
      <c r="F3" s="170"/>
      <c r="G3" s="169"/>
      <c r="H3" s="168"/>
    </row>
    <row r="4" spans="1:225" ht="12.75" customHeight="1" x14ac:dyDescent="0.25">
      <c r="B4" s="343" t="s">
        <v>724</v>
      </c>
      <c r="C4" s="344"/>
      <c r="D4" s="344"/>
      <c r="E4" s="344"/>
      <c r="F4" s="344"/>
      <c r="G4" s="344"/>
      <c r="H4" s="345"/>
    </row>
    <row r="5" spans="1:225" x14ac:dyDescent="0.25">
      <c r="B5" s="346" t="s">
        <v>723</v>
      </c>
      <c r="C5" s="347"/>
      <c r="D5" s="347"/>
      <c r="E5" s="348"/>
      <c r="H5" s="167"/>
    </row>
    <row r="6" spans="1:225" s="156" customFormat="1" x14ac:dyDescent="0.25">
      <c r="B6" s="349" t="s">
        <v>722</v>
      </c>
      <c r="C6" s="350"/>
      <c r="D6" s="166" t="s">
        <v>702</v>
      </c>
      <c r="E6" s="166" t="s">
        <v>721</v>
      </c>
      <c r="F6" s="165" t="s">
        <v>720</v>
      </c>
      <c r="G6" s="165"/>
      <c r="H6" s="164">
        <v>273.99</v>
      </c>
    </row>
    <row r="7" spans="1:225" x14ac:dyDescent="0.25">
      <c r="B7" s="310" t="s">
        <v>719</v>
      </c>
      <c r="C7" s="311"/>
      <c r="D7" s="149">
        <v>5.0000000000000001E-3</v>
      </c>
      <c r="E7" s="147">
        <f>+H11*D7</f>
        <v>8625.4750000000004</v>
      </c>
      <c r="F7" s="146" t="s">
        <v>718</v>
      </c>
      <c r="G7" s="145"/>
      <c r="H7" s="163">
        <v>273.99</v>
      </c>
    </row>
    <row r="8" spans="1:225" x14ac:dyDescent="0.25">
      <c r="B8" s="310" t="s">
        <v>717</v>
      </c>
      <c r="C8" s="311"/>
      <c r="D8" s="149">
        <v>7.4999999999999997E-2</v>
      </c>
      <c r="E8" s="147">
        <f>+H11*D8</f>
        <v>129382.125</v>
      </c>
      <c r="F8" s="334" t="s">
        <v>716</v>
      </c>
      <c r="G8" s="335"/>
      <c r="H8" s="162">
        <v>1725095</v>
      </c>
    </row>
    <row r="9" spans="1:225" ht="12.75" customHeight="1" x14ac:dyDescent="0.25">
      <c r="B9" s="310" t="s">
        <v>715</v>
      </c>
      <c r="C9" s="311"/>
      <c r="D9" s="149">
        <v>0.02</v>
      </c>
      <c r="E9" s="147">
        <f>+H11*D9</f>
        <v>34501.9</v>
      </c>
      <c r="F9" s="153" t="s">
        <v>714</v>
      </c>
      <c r="G9" s="161"/>
      <c r="H9" s="160">
        <f>H8*H7</f>
        <v>472658779.05000001</v>
      </c>
    </row>
    <row r="10" spans="1:225" x14ac:dyDescent="0.25">
      <c r="B10" s="310" t="s">
        <v>713</v>
      </c>
      <c r="C10" s="311"/>
      <c r="D10" s="149">
        <v>0.02</v>
      </c>
      <c r="E10" s="147">
        <f>+H11*D10</f>
        <v>34501.9</v>
      </c>
      <c r="F10" s="159"/>
      <c r="G10" s="159"/>
      <c r="H10" s="151"/>
    </row>
    <row r="11" spans="1:225" x14ac:dyDescent="0.25">
      <c r="B11" s="310" t="s">
        <v>712</v>
      </c>
      <c r="C11" s="311"/>
      <c r="D11" s="149">
        <v>0.12</v>
      </c>
      <c r="E11" s="147">
        <f>+H11*D11</f>
        <v>207011.4</v>
      </c>
      <c r="F11" s="339" t="s">
        <v>711</v>
      </c>
      <c r="G11" s="340"/>
      <c r="H11" s="336">
        <f>H8</f>
        <v>1725095</v>
      </c>
    </row>
    <row r="12" spans="1:225" x14ac:dyDescent="0.25">
      <c r="B12" s="310" t="s">
        <v>710</v>
      </c>
      <c r="C12" s="311"/>
      <c r="D12" s="149">
        <v>0.1</v>
      </c>
      <c r="E12" s="147">
        <f>+H11*D12</f>
        <v>172509.5</v>
      </c>
      <c r="F12" s="341"/>
      <c r="G12" s="342"/>
      <c r="H12" s="337"/>
    </row>
    <row r="13" spans="1:225" x14ac:dyDescent="0.25">
      <c r="B13" s="310" t="s">
        <v>709</v>
      </c>
      <c r="C13" s="311"/>
      <c r="D13" s="149">
        <v>7.0000000000000007E-2</v>
      </c>
      <c r="E13" s="147">
        <f>+H11*D13</f>
        <v>120756.65000000001</v>
      </c>
      <c r="F13" s="330" t="s">
        <v>708</v>
      </c>
      <c r="G13" s="331"/>
      <c r="H13" s="158" t="s">
        <v>707</v>
      </c>
    </row>
    <row r="14" spans="1:225" x14ac:dyDescent="0.25">
      <c r="A14" s="156"/>
      <c r="B14" s="310" t="s">
        <v>706</v>
      </c>
      <c r="C14" s="311"/>
      <c r="D14" s="149">
        <v>7.0000000000000007E-2</v>
      </c>
      <c r="E14" s="147">
        <f>+H11*D14</f>
        <v>120756.65000000001</v>
      </c>
      <c r="F14" s="330" t="s">
        <v>705</v>
      </c>
      <c r="G14" s="331"/>
      <c r="H14" s="157"/>
      <c r="I14" s="156"/>
      <c r="J14" s="156"/>
      <c r="K14" s="156"/>
      <c r="L14" s="156"/>
      <c r="M14" s="156"/>
      <c r="N14" s="156"/>
      <c r="O14" s="156"/>
      <c r="P14" s="156"/>
      <c r="Q14" s="156"/>
      <c r="R14" s="156"/>
      <c r="S14" s="156"/>
      <c r="T14" s="156"/>
      <c r="U14" s="156"/>
      <c r="V14" s="156"/>
      <c r="W14" s="156"/>
      <c r="X14" s="156"/>
      <c r="Y14" s="156"/>
      <c r="Z14" s="156"/>
      <c r="AA14" s="156"/>
      <c r="AB14" s="156"/>
      <c r="AC14" s="156"/>
      <c r="AD14" s="156"/>
      <c r="AE14" s="156"/>
      <c r="AF14" s="156"/>
      <c r="AG14" s="156"/>
      <c r="AH14" s="156"/>
      <c r="AI14" s="156"/>
      <c r="AJ14" s="156"/>
      <c r="AK14" s="156"/>
      <c r="AL14" s="156"/>
      <c r="AM14" s="156"/>
      <c r="AN14" s="156"/>
      <c r="AO14" s="156"/>
      <c r="AP14" s="156"/>
      <c r="AQ14" s="156"/>
      <c r="AR14" s="156"/>
      <c r="AS14" s="156"/>
      <c r="AT14" s="156"/>
      <c r="AU14" s="156"/>
      <c r="AV14" s="156"/>
      <c r="AW14" s="156"/>
      <c r="AX14" s="156"/>
      <c r="AY14" s="156"/>
      <c r="AZ14" s="156"/>
      <c r="BA14" s="156"/>
      <c r="BB14" s="156"/>
      <c r="BC14" s="156"/>
      <c r="BD14" s="156"/>
      <c r="BE14" s="156"/>
      <c r="BF14" s="156"/>
      <c r="BG14" s="156"/>
      <c r="BH14" s="156"/>
      <c r="BI14" s="156"/>
      <c r="BJ14" s="156"/>
      <c r="BK14" s="156"/>
      <c r="BL14" s="156"/>
      <c r="BM14" s="156"/>
      <c r="BN14" s="156"/>
      <c r="BO14" s="156"/>
      <c r="BP14" s="156"/>
      <c r="BQ14" s="156"/>
      <c r="BR14" s="156"/>
      <c r="BS14" s="156"/>
      <c r="BT14" s="156"/>
      <c r="BU14" s="156"/>
      <c r="BV14" s="156"/>
      <c r="BW14" s="156"/>
      <c r="BX14" s="156"/>
      <c r="BY14" s="156"/>
      <c r="BZ14" s="156"/>
      <c r="CA14" s="156"/>
      <c r="CB14" s="156"/>
      <c r="CC14" s="156"/>
      <c r="CD14" s="156"/>
      <c r="CE14" s="156"/>
      <c r="CF14" s="156"/>
      <c r="CG14" s="156"/>
      <c r="CH14" s="156"/>
      <c r="CI14" s="156"/>
      <c r="CJ14" s="156"/>
      <c r="CK14" s="156"/>
      <c r="CL14" s="156"/>
      <c r="CM14" s="156"/>
      <c r="CN14" s="156"/>
      <c r="CO14" s="156"/>
      <c r="CP14" s="156"/>
      <c r="CQ14" s="156"/>
      <c r="CR14" s="156"/>
      <c r="CS14" s="156"/>
      <c r="CT14" s="156"/>
      <c r="CU14" s="156"/>
      <c r="CV14" s="156"/>
      <c r="CW14" s="156"/>
      <c r="CX14" s="156"/>
      <c r="CY14" s="156"/>
      <c r="CZ14" s="156"/>
      <c r="DA14" s="156"/>
      <c r="DB14" s="156"/>
      <c r="DC14" s="156"/>
      <c r="DD14" s="156"/>
      <c r="DE14" s="156"/>
      <c r="DF14" s="156"/>
      <c r="DG14" s="156"/>
      <c r="DH14" s="156"/>
      <c r="DI14" s="156"/>
      <c r="DJ14" s="156"/>
      <c r="DK14" s="156"/>
      <c r="DL14" s="156"/>
      <c r="DM14" s="156"/>
      <c r="DN14" s="156"/>
      <c r="DO14" s="156"/>
      <c r="DP14" s="156"/>
      <c r="DQ14" s="156"/>
      <c r="DR14" s="156"/>
      <c r="DS14" s="156"/>
      <c r="DT14" s="156"/>
      <c r="DU14" s="156"/>
      <c r="DV14" s="156"/>
      <c r="DW14" s="156"/>
      <c r="DX14" s="156"/>
      <c r="DY14" s="156"/>
      <c r="DZ14" s="156"/>
      <c r="EA14" s="156"/>
      <c r="EB14" s="156"/>
      <c r="EC14" s="156"/>
      <c r="ED14" s="156"/>
      <c r="EE14" s="156"/>
      <c r="EF14" s="156"/>
      <c r="EG14" s="156"/>
      <c r="EH14" s="156"/>
      <c r="EI14" s="156"/>
      <c r="EJ14" s="156"/>
      <c r="EK14" s="156"/>
      <c r="EL14" s="156"/>
      <c r="EM14" s="156"/>
      <c r="EN14" s="156"/>
      <c r="EO14" s="156"/>
      <c r="EP14" s="156"/>
      <c r="EQ14" s="156"/>
      <c r="ER14" s="156"/>
      <c r="ES14" s="156"/>
      <c r="ET14" s="156"/>
      <c r="EU14" s="156"/>
      <c r="EV14" s="156"/>
      <c r="EW14" s="156"/>
      <c r="EX14" s="156"/>
      <c r="EY14" s="156"/>
      <c r="EZ14" s="156"/>
      <c r="FA14" s="156"/>
      <c r="FB14" s="156"/>
      <c r="FC14" s="156"/>
      <c r="FD14" s="156"/>
      <c r="FE14" s="156"/>
      <c r="FF14" s="156"/>
      <c r="FG14" s="156"/>
      <c r="FH14" s="156"/>
      <c r="FI14" s="156"/>
      <c r="FJ14" s="156"/>
      <c r="FK14" s="156"/>
      <c r="FL14" s="156"/>
      <c r="FM14" s="156"/>
      <c r="FN14" s="156"/>
      <c r="FO14" s="156"/>
      <c r="FP14" s="156"/>
      <c r="FQ14" s="156"/>
      <c r="FR14" s="156"/>
      <c r="FS14" s="156"/>
      <c r="FT14" s="156"/>
      <c r="FU14" s="156"/>
      <c r="FV14" s="156"/>
      <c r="FW14" s="156"/>
      <c r="FX14" s="156"/>
      <c r="FY14" s="156"/>
      <c r="FZ14" s="156"/>
      <c r="GA14" s="156"/>
      <c r="GB14" s="156"/>
      <c r="GC14" s="156"/>
      <c r="GD14" s="156"/>
      <c r="GE14" s="156"/>
      <c r="GF14" s="156"/>
      <c r="GG14" s="156"/>
      <c r="GH14" s="156"/>
      <c r="GI14" s="156"/>
      <c r="GJ14" s="156"/>
      <c r="GK14" s="156"/>
      <c r="GL14" s="156"/>
      <c r="GM14" s="156"/>
      <c r="GN14" s="156"/>
      <c r="GO14" s="156"/>
      <c r="GP14" s="156"/>
      <c r="GQ14" s="156"/>
      <c r="GR14" s="156"/>
      <c r="GS14" s="156"/>
      <c r="GT14" s="156"/>
      <c r="GU14" s="156"/>
      <c r="GV14" s="156"/>
      <c r="GW14" s="156"/>
      <c r="GX14" s="156"/>
      <c r="GY14" s="156"/>
      <c r="GZ14" s="156"/>
      <c r="HA14" s="156"/>
      <c r="HB14" s="156"/>
      <c r="HC14" s="156"/>
      <c r="HD14" s="156"/>
      <c r="HE14" s="156"/>
      <c r="HF14" s="156"/>
      <c r="HG14" s="156"/>
      <c r="HH14" s="156"/>
      <c r="HI14" s="156"/>
      <c r="HJ14" s="156"/>
      <c r="HK14" s="156"/>
      <c r="HL14" s="156"/>
      <c r="HM14" s="156"/>
      <c r="HN14" s="156"/>
      <c r="HO14" s="156"/>
      <c r="HP14" s="156"/>
      <c r="HQ14" s="156"/>
    </row>
    <row r="15" spans="1:225" x14ac:dyDescent="0.25">
      <c r="B15" s="310" t="s">
        <v>704</v>
      </c>
      <c r="C15" s="311"/>
      <c r="D15" s="149">
        <v>0.06</v>
      </c>
      <c r="E15" s="147">
        <f>+H11*D15</f>
        <v>103505.7</v>
      </c>
      <c r="F15" s="146" t="s">
        <v>703</v>
      </c>
      <c r="G15" s="145"/>
      <c r="H15" s="155" t="s">
        <v>702</v>
      </c>
    </row>
    <row r="16" spans="1:225" x14ac:dyDescent="0.25">
      <c r="B16" s="310" t="s">
        <v>701</v>
      </c>
      <c r="C16" s="311"/>
      <c r="D16" s="149">
        <v>0.04</v>
      </c>
      <c r="E16" s="147">
        <f>+H11*D16</f>
        <v>69003.8</v>
      </c>
      <c r="F16" s="146"/>
      <c r="G16" s="145"/>
      <c r="H16" s="154"/>
    </row>
    <row r="17" spans="2:8" x14ac:dyDescent="0.25">
      <c r="B17" s="310" t="s">
        <v>700</v>
      </c>
      <c r="C17" s="311"/>
      <c r="D17" s="149">
        <v>0.03</v>
      </c>
      <c r="E17" s="147">
        <f>+H11*D17</f>
        <v>51752.85</v>
      </c>
      <c r="F17" s="146"/>
      <c r="G17" s="145"/>
      <c r="H17" s="154"/>
    </row>
    <row r="18" spans="2:8" x14ac:dyDescent="0.25">
      <c r="B18" s="310" t="s">
        <v>699</v>
      </c>
      <c r="C18" s="311"/>
      <c r="D18" s="149">
        <v>0.06</v>
      </c>
      <c r="E18" s="147">
        <f>+H11*D18</f>
        <v>103505.7</v>
      </c>
      <c r="F18" s="153" t="s">
        <v>698</v>
      </c>
      <c r="G18" s="145"/>
      <c r="H18" s="152">
        <f>H8</f>
        <v>1725095</v>
      </c>
    </row>
    <row r="19" spans="2:8" x14ac:dyDescent="0.25">
      <c r="B19" s="310" t="s">
        <v>697</v>
      </c>
      <c r="C19" s="311"/>
      <c r="D19" s="149">
        <v>7.0000000000000007E-2</v>
      </c>
      <c r="E19" s="147">
        <f>+H11*D19</f>
        <v>120756.65000000001</v>
      </c>
      <c r="F19" s="332"/>
      <c r="G19" s="333"/>
      <c r="H19" s="151"/>
    </row>
    <row r="20" spans="2:8" x14ac:dyDescent="0.25">
      <c r="B20" s="310" t="s">
        <v>696</v>
      </c>
      <c r="C20" s="311"/>
      <c r="D20" s="149">
        <v>5.1999999999999998E-2</v>
      </c>
      <c r="E20" s="147">
        <f>+H11*D20</f>
        <v>89704.94</v>
      </c>
      <c r="F20" s="146" t="s">
        <v>695</v>
      </c>
      <c r="G20" s="145"/>
      <c r="H20" s="150">
        <v>2.5</v>
      </c>
    </row>
    <row r="21" spans="2:8" x14ac:dyDescent="0.25">
      <c r="B21" s="310" t="s">
        <v>694</v>
      </c>
      <c r="C21" s="311"/>
      <c r="D21" s="149">
        <v>0.03</v>
      </c>
      <c r="E21" s="147">
        <f>+H11*D21</f>
        <v>51752.85</v>
      </c>
      <c r="F21" s="146" t="s">
        <v>693</v>
      </c>
      <c r="G21" s="145"/>
      <c r="H21" s="150">
        <v>100</v>
      </c>
    </row>
    <row r="22" spans="2:8" x14ac:dyDescent="0.25">
      <c r="B22" s="310" t="s">
        <v>692</v>
      </c>
      <c r="C22" s="311"/>
      <c r="D22" s="149">
        <v>2E-3</v>
      </c>
      <c r="E22" s="147">
        <f>+H11*D22</f>
        <v>3450.19</v>
      </c>
      <c r="F22" s="146" t="s">
        <v>691</v>
      </c>
      <c r="G22" s="145"/>
      <c r="H22" s="150">
        <v>25</v>
      </c>
    </row>
    <row r="23" spans="2:8" x14ac:dyDescent="0.25">
      <c r="B23" s="310" t="s">
        <v>690</v>
      </c>
      <c r="C23" s="311"/>
      <c r="D23" s="149">
        <v>6.0000000000000001E-3</v>
      </c>
      <c r="E23" s="147">
        <f>+H11*D23</f>
        <v>10350.57</v>
      </c>
      <c r="F23" s="146" t="s">
        <v>689</v>
      </c>
      <c r="G23" s="145"/>
      <c r="H23" s="148">
        <f>+(H22/H21)</f>
        <v>0.25</v>
      </c>
    </row>
    <row r="24" spans="2:8" x14ac:dyDescent="0.25">
      <c r="B24" s="310" t="s">
        <v>688</v>
      </c>
      <c r="C24" s="311"/>
      <c r="D24" s="141">
        <v>0.01</v>
      </c>
      <c r="E24" s="147">
        <f>H11*D24</f>
        <v>17250.95</v>
      </c>
      <c r="F24" s="146" t="s">
        <v>687</v>
      </c>
      <c r="G24" s="145"/>
      <c r="H24" s="144">
        <v>0.30890000000000001</v>
      </c>
    </row>
    <row r="25" spans="2:8" x14ac:dyDescent="0.25">
      <c r="B25" s="320" t="s">
        <v>686</v>
      </c>
      <c r="C25" s="321"/>
      <c r="D25" s="143"/>
      <c r="E25" s="136">
        <f>SUM(E7:E24)</f>
        <v>1449079.8</v>
      </c>
      <c r="F25" s="322" t="s">
        <v>685</v>
      </c>
      <c r="G25" s="322"/>
      <c r="H25" s="308">
        <f>+H18-((H18*(H24)))</f>
        <v>1192213.1544999999</v>
      </c>
    </row>
    <row r="26" spans="2:8" x14ac:dyDescent="0.25">
      <c r="B26" s="310" t="s">
        <v>684</v>
      </c>
      <c r="C26" s="311"/>
      <c r="D26" s="141">
        <v>0.05</v>
      </c>
      <c r="E26" s="142">
        <f>H11*D26</f>
        <v>86254.75</v>
      </c>
      <c r="F26" s="323"/>
      <c r="G26" s="323"/>
      <c r="H26" s="309"/>
    </row>
    <row r="27" spans="2:8" x14ac:dyDescent="0.25">
      <c r="B27" s="310" t="s">
        <v>683</v>
      </c>
      <c r="C27" s="311"/>
      <c r="D27" s="141">
        <v>0.11</v>
      </c>
      <c r="E27" s="140">
        <f>H11*D27</f>
        <v>189760.45</v>
      </c>
      <c r="F27" s="326" t="s">
        <v>682</v>
      </c>
      <c r="G27" s="327"/>
      <c r="H27" s="312">
        <v>1192213</v>
      </c>
    </row>
    <row r="28" spans="2:8" x14ac:dyDescent="0.25">
      <c r="B28" s="139" t="s">
        <v>681</v>
      </c>
      <c r="C28" s="138"/>
      <c r="D28" s="137">
        <f>SUM(D7:D27)</f>
        <v>1.0000000000000004</v>
      </c>
      <c r="E28" s="136">
        <f>E25+E26+E27</f>
        <v>1725095</v>
      </c>
      <c r="F28" s="328"/>
      <c r="G28" s="329"/>
      <c r="H28" s="313"/>
    </row>
    <row r="29" spans="2:8" ht="30" customHeight="1" x14ac:dyDescent="0.25">
      <c r="B29" s="324"/>
      <c r="C29" s="324"/>
      <c r="D29" s="135"/>
      <c r="E29" s="134"/>
      <c r="F29" s="325" t="s">
        <v>680</v>
      </c>
      <c r="G29" s="325"/>
      <c r="H29" s="133">
        <f>H27*H7</f>
        <v>326654439.87</v>
      </c>
    </row>
    <row r="31" spans="2:8" x14ac:dyDescent="0.25">
      <c r="B31" s="314" t="s">
        <v>679</v>
      </c>
      <c r="C31" s="315"/>
      <c r="D31" s="315"/>
      <c r="E31" s="315"/>
      <c r="F31" s="315"/>
      <c r="G31" s="315"/>
      <c r="H31" s="316"/>
    </row>
    <row r="32" spans="2:8" ht="15" customHeight="1" x14ac:dyDescent="0.25">
      <c r="B32" s="317"/>
      <c r="C32" s="318"/>
      <c r="D32" s="318"/>
      <c r="E32" s="318"/>
      <c r="F32" s="318"/>
      <c r="G32" s="318"/>
      <c r="H32" s="319"/>
    </row>
  </sheetData>
  <mergeCells count="38">
    <mergeCell ref="B11:C11"/>
    <mergeCell ref="F8:G8"/>
    <mergeCell ref="H11:H12"/>
    <mergeCell ref="B1:H2"/>
    <mergeCell ref="F11:G12"/>
    <mergeCell ref="B12:C12"/>
    <mergeCell ref="B4:H4"/>
    <mergeCell ref="B5:E5"/>
    <mergeCell ref="B6:C6"/>
    <mergeCell ref="B7:C7"/>
    <mergeCell ref="B8:C8"/>
    <mergeCell ref="B9:C9"/>
    <mergeCell ref="B10:C10"/>
    <mergeCell ref="B22:C22"/>
    <mergeCell ref="B23:C23"/>
    <mergeCell ref="B21:C21"/>
    <mergeCell ref="B13:C13"/>
    <mergeCell ref="F13:G13"/>
    <mergeCell ref="B14:C14"/>
    <mergeCell ref="F14:G14"/>
    <mergeCell ref="B15:C15"/>
    <mergeCell ref="B20:C20"/>
    <mergeCell ref="B16:C16"/>
    <mergeCell ref="B17:C17"/>
    <mergeCell ref="B18:C18"/>
    <mergeCell ref="B19:C19"/>
    <mergeCell ref="F19:G19"/>
    <mergeCell ref="H25:H26"/>
    <mergeCell ref="B26:C26"/>
    <mergeCell ref="H27:H28"/>
    <mergeCell ref="B31:H32"/>
    <mergeCell ref="B24:C24"/>
    <mergeCell ref="B25:C25"/>
    <mergeCell ref="F25:G26"/>
    <mergeCell ref="B29:C29"/>
    <mergeCell ref="F29:G29"/>
    <mergeCell ref="B27:C27"/>
    <mergeCell ref="F27:G28"/>
  </mergeCells>
  <pageMargins left="0.7" right="0.7" top="0.75" bottom="0.75" header="0.3" footer="0.3"/>
  <pageSetup paperSize="9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56471-7C0C-48F8-86DA-5A2D9480943D}">
  <sheetPr codeName="Hoja16"/>
  <dimension ref="A1:J111"/>
  <sheetViews>
    <sheetView workbookViewId="0">
      <selection activeCell="J27" sqref="J27"/>
    </sheetView>
  </sheetViews>
  <sheetFormatPr baseColWidth="10" defaultColWidth="13.109375" defaultRowHeight="14.4" x14ac:dyDescent="0.3"/>
  <cols>
    <col min="1" max="1" width="12" style="172" customWidth="1"/>
    <col min="2" max="2" width="7.33203125" style="171" customWidth="1"/>
    <col min="3" max="3" width="7.109375" style="171" customWidth="1"/>
    <col min="4" max="4" width="7.6640625" style="171" customWidth="1"/>
    <col min="5" max="5" width="7.33203125" style="171" customWidth="1"/>
    <col min="6" max="6" width="7.44140625" style="171" customWidth="1"/>
    <col min="7" max="7" width="7.88671875" style="171" customWidth="1"/>
    <col min="8" max="8" width="7.44140625" style="171" customWidth="1"/>
    <col min="9" max="9" width="8.44140625" style="171" customWidth="1"/>
    <col min="10" max="10" width="9.109375" style="171" customWidth="1"/>
    <col min="11" max="16384" width="13.109375" style="171"/>
  </cols>
  <sheetData>
    <row r="1" spans="1:10" ht="21" x14ac:dyDescent="0.3">
      <c r="A1" s="352" t="s">
        <v>739</v>
      </c>
      <c r="B1" s="353"/>
      <c r="C1" s="353"/>
      <c r="D1" s="353"/>
      <c r="E1" s="353"/>
      <c r="F1" s="353"/>
      <c r="G1" s="353"/>
      <c r="H1" s="353"/>
      <c r="I1" s="353"/>
      <c r="J1" s="354"/>
    </row>
    <row r="2" spans="1:10" ht="36" customHeight="1" x14ac:dyDescent="0.3">
      <c r="A2" s="355" t="s">
        <v>738</v>
      </c>
      <c r="B2" s="356"/>
      <c r="C2" s="356"/>
      <c r="D2" s="356"/>
      <c r="E2" s="356"/>
      <c r="F2" s="356"/>
      <c r="G2" s="356"/>
      <c r="H2" s="356"/>
      <c r="I2" s="356"/>
      <c r="J2" s="357"/>
    </row>
    <row r="3" spans="1:10" ht="25.5" customHeight="1" x14ac:dyDescent="0.3">
      <c r="A3" s="171"/>
      <c r="B3" s="358" t="s">
        <v>737</v>
      </c>
      <c r="C3" s="358"/>
      <c r="D3" s="358"/>
      <c r="E3" s="358"/>
      <c r="F3" s="358"/>
      <c r="G3" s="358"/>
      <c r="H3" s="358"/>
      <c r="I3" s="358"/>
      <c r="J3" s="358"/>
    </row>
    <row r="4" spans="1:10" ht="48.75" customHeight="1" x14ac:dyDescent="0.3">
      <c r="A4" s="181" t="s">
        <v>736</v>
      </c>
      <c r="B4" s="180">
        <v>1</v>
      </c>
      <c r="C4" s="180">
        <v>1.5</v>
      </c>
      <c r="D4" s="180">
        <v>2</v>
      </c>
      <c r="E4" s="180">
        <v>2.5</v>
      </c>
      <c r="F4" s="180">
        <v>3</v>
      </c>
      <c r="G4" s="180">
        <v>3.5</v>
      </c>
      <c r="H4" s="180">
        <v>4</v>
      </c>
      <c r="I4" s="180">
        <v>4.5</v>
      </c>
      <c r="J4" s="179">
        <v>5</v>
      </c>
    </row>
    <row r="5" spans="1:10" x14ac:dyDescent="0.3">
      <c r="A5" s="178">
        <v>0</v>
      </c>
      <c r="B5" s="177">
        <v>0</v>
      </c>
      <c r="C5" s="177">
        <v>0.05</v>
      </c>
      <c r="D5" s="177">
        <v>2.5</v>
      </c>
      <c r="E5" s="177">
        <v>8.0500000000000007</v>
      </c>
      <c r="F5" s="177">
        <v>18.100000000000001</v>
      </c>
      <c r="G5" s="177">
        <v>33.200000000000003</v>
      </c>
      <c r="H5" s="177">
        <v>51.6</v>
      </c>
      <c r="I5" s="177">
        <v>75.099999999999994</v>
      </c>
      <c r="J5" s="174">
        <v>100</v>
      </c>
    </row>
    <row r="6" spans="1:10" x14ac:dyDescent="0.3">
      <c r="A6" s="178">
        <v>1</v>
      </c>
      <c r="B6" s="177">
        <v>0.5</v>
      </c>
      <c r="C6" s="177">
        <v>0.55000000000000004</v>
      </c>
      <c r="D6" s="177">
        <f>2.46+C6</f>
        <v>3.01</v>
      </c>
      <c r="E6" s="177">
        <v>8.5500000000000007</v>
      </c>
      <c r="F6" s="177">
        <v>18.510000000000002</v>
      </c>
      <c r="G6" s="177">
        <v>33.54</v>
      </c>
      <c r="H6" s="177">
        <v>52.84</v>
      </c>
      <c r="I6" s="177">
        <v>75.319999999999993</v>
      </c>
      <c r="J6" s="174">
        <v>100</v>
      </c>
    </row>
    <row r="7" spans="1:10" x14ac:dyDescent="0.3">
      <c r="A7" s="178">
        <v>2</v>
      </c>
      <c r="B7" s="177">
        <v>1.02</v>
      </c>
      <c r="C7" s="177">
        <v>1.05</v>
      </c>
      <c r="D7" s="177">
        <f>2.46+C7</f>
        <v>3.51</v>
      </c>
      <c r="E7" s="177">
        <v>9.0299999999999994</v>
      </c>
      <c r="F7" s="177">
        <v>18.940000000000001</v>
      </c>
      <c r="G7" s="177">
        <v>33.090000000000003</v>
      </c>
      <c r="H7" s="177">
        <v>53.09</v>
      </c>
      <c r="I7" s="177">
        <v>75.45</v>
      </c>
      <c r="J7" s="174">
        <v>100</v>
      </c>
    </row>
    <row r="8" spans="1:10" x14ac:dyDescent="0.3">
      <c r="A8" s="178">
        <v>3</v>
      </c>
      <c r="B8" s="177">
        <v>1.54</v>
      </c>
      <c r="C8" s="177">
        <v>1.57</v>
      </c>
      <c r="D8" s="177">
        <f>2.46+C8</f>
        <v>4.03</v>
      </c>
      <c r="E8" s="177">
        <v>9.51</v>
      </c>
      <c r="F8" s="177">
        <v>19.37</v>
      </c>
      <c r="G8" s="177">
        <v>34.229999999999997</v>
      </c>
      <c r="H8" s="177">
        <v>53.34</v>
      </c>
      <c r="I8" s="177">
        <v>75.58</v>
      </c>
      <c r="J8" s="174">
        <v>100</v>
      </c>
    </row>
    <row r="9" spans="1:10" x14ac:dyDescent="0.3">
      <c r="A9" s="178">
        <v>4</v>
      </c>
      <c r="B9" s="177">
        <v>2.08</v>
      </c>
      <c r="C9" s="177">
        <v>2.11</v>
      </c>
      <c r="D9" s="177">
        <f>2.43+C9</f>
        <v>4.54</v>
      </c>
      <c r="E9" s="177">
        <v>10</v>
      </c>
      <c r="F9" s="177">
        <v>19.8</v>
      </c>
      <c r="G9" s="177">
        <v>34.590000000000003</v>
      </c>
      <c r="H9" s="177">
        <v>53.59</v>
      </c>
      <c r="I9" s="177">
        <v>75.709999999999994</v>
      </c>
      <c r="J9" s="174">
        <v>100</v>
      </c>
    </row>
    <row r="10" spans="1:10" x14ac:dyDescent="0.3">
      <c r="A10" s="178">
        <v>5</v>
      </c>
      <c r="B10" s="177">
        <v>2.62</v>
      </c>
      <c r="C10" s="177">
        <v>2.65</v>
      </c>
      <c r="D10" s="177">
        <f>2.43+C10</f>
        <v>5.08</v>
      </c>
      <c r="E10" s="177">
        <v>10.5</v>
      </c>
      <c r="F10" s="177">
        <v>20.25</v>
      </c>
      <c r="G10" s="177">
        <v>34.950000000000003</v>
      </c>
      <c r="H10" s="177">
        <v>53.94</v>
      </c>
      <c r="I10" s="177">
        <v>75.849999999999994</v>
      </c>
      <c r="J10" s="174">
        <v>100</v>
      </c>
    </row>
    <row r="11" spans="1:10" x14ac:dyDescent="0.3">
      <c r="A11" s="178">
        <v>6</v>
      </c>
      <c r="B11" s="177">
        <v>3.1</v>
      </c>
      <c r="C11" s="177">
        <v>3.21</v>
      </c>
      <c r="D11" s="177">
        <v>5.62</v>
      </c>
      <c r="E11" s="177">
        <v>11.01</v>
      </c>
      <c r="F11" s="177">
        <v>20.7</v>
      </c>
      <c r="G11" s="177">
        <v>35.32</v>
      </c>
      <c r="H11" s="177">
        <v>54.11</v>
      </c>
      <c r="I11" s="177">
        <v>75.989999999999995</v>
      </c>
      <c r="J11" s="174">
        <v>100</v>
      </c>
    </row>
    <row r="12" spans="1:10" x14ac:dyDescent="0.3">
      <c r="A12" s="178">
        <v>7</v>
      </c>
      <c r="B12" s="177">
        <v>3.74</v>
      </c>
      <c r="C12" s="177">
        <v>3.77</v>
      </c>
      <c r="D12" s="177">
        <v>6.17</v>
      </c>
      <c r="E12" s="177">
        <v>11.53</v>
      </c>
      <c r="F12" s="177">
        <v>21.17</v>
      </c>
      <c r="G12" s="177">
        <v>35.700000000000003</v>
      </c>
      <c r="H12" s="177">
        <v>54.38</v>
      </c>
      <c r="I12" s="177">
        <v>76.13</v>
      </c>
      <c r="J12" s="174">
        <v>100</v>
      </c>
    </row>
    <row r="13" spans="1:10" x14ac:dyDescent="0.3">
      <c r="A13" s="178">
        <v>8</v>
      </c>
      <c r="B13" s="177">
        <v>4.32</v>
      </c>
      <c r="C13" s="177">
        <v>4.3499999999999996</v>
      </c>
      <c r="D13" s="177">
        <f>2.38+C13</f>
        <v>6.7299999999999995</v>
      </c>
      <c r="E13" s="177">
        <v>12.06</v>
      </c>
      <c r="F13" s="177">
        <v>21.64</v>
      </c>
      <c r="G13" s="177">
        <v>36.090000000000003</v>
      </c>
      <c r="H13" s="177">
        <v>54.65</v>
      </c>
      <c r="I13" s="177">
        <v>76.27</v>
      </c>
      <c r="J13" s="174">
        <v>100</v>
      </c>
    </row>
    <row r="14" spans="1:10" x14ac:dyDescent="0.3">
      <c r="A14" s="178">
        <v>9</v>
      </c>
      <c r="B14" s="177">
        <v>4.9000000000000004</v>
      </c>
      <c r="C14" s="177">
        <v>4.93</v>
      </c>
      <c r="D14" s="177">
        <v>7.3</v>
      </c>
      <c r="E14" s="177">
        <v>12.6</v>
      </c>
      <c r="F14" s="177">
        <v>22.12</v>
      </c>
      <c r="G14" s="177">
        <v>36.43</v>
      </c>
      <c r="H14" s="177">
        <v>54.93</v>
      </c>
      <c r="I14" s="177">
        <v>76.41</v>
      </c>
      <c r="J14" s="174">
        <v>100</v>
      </c>
    </row>
    <row r="15" spans="1:10" x14ac:dyDescent="0.3">
      <c r="A15" s="178">
        <v>10</v>
      </c>
      <c r="B15" s="177">
        <v>5.5</v>
      </c>
      <c r="C15" s="177">
        <v>5.53</v>
      </c>
      <c r="D15" s="177">
        <v>7.88</v>
      </c>
      <c r="E15" s="177">
        <v>13.15</v>
      </c>
      <c r="F15" s="177">
        <v>22.6</v>
      </c>
      <c r="G15" s="177">
        <v>36.869999999999997</v>
      </c>
      <c r="H15" s="177">
        <v>55.21</v>
      </c>
      <c r="I15" s="177">
        <v>76.56</v>
      </c>
      <c r="J15" s="174">
        <v>100</v>
      </c>
    </row>
    <row r="16" spans="1:10" x14ac:dyDescent="0.3">
      <c r="A16" s="178">
        <v>11</v>
      </c>
      <c r="B16" s="177">
        <v>6.1</v>
      </c>
      <c r="C16" s="177">
        <v>6.13</v>
      </c>
      <c r="D16" s="177">
        <v>8.4700000000000006</v>
      </c>
      <c r="E16" s="177">
        <v>13.7</v>
      </c>
      <c r="F16" s="177">
        <v>23.1</v>
      </c>
      <c r="G16" s="177">
        <v>37.270000000000003</v>
      </c>
      <c r="H16" s="177">
        <v>55.49</v>
      </c>
      <c r="I16" s="177">
        <v>76.709999999999994</v>
      </c>
      <c r="J16" s="174">
        <v>100</v>
      </c>
    </row>
    <row r="17" spans="1:10" x14ac:dyDescent="0.3">
      <c r="A17" s="178">
        <v>12</v>
      </c>
      <c r="B17" s="177">
        <v>6.72</v>
      </c>
      <c r="C17" s="177">
        <v>6.75</v>
      </c>
      <c r="D17" s="177">
        <v>9.07</v>
      </c>
      <c r="E17" s="177">
        <v>14.27</v>
      </c>
      <c r="F17" s="177">
        <v>23.61</v>
      </c>
      <c r="G17" s="177">
        <v>37.68</v>
      </c>
      <c r="H17" s="177">
        <v>55.78</v>
      </c>
      <c r="I17" s="177">
        <v>76.86</v>
      </c>
      <c r="J17" s="174">
        <v>100</v>
      </c>
    </row>
    <row r="18" spans="1:10" x14ac:dyDescent="0.3">
      <c r="A18" s="178">
        <v>13</v>
      </c>
      <c r="B18" s="177">
        <v>7.34</v>
      </c>
      <c r="C18" s="177">
        <v>7.37</v>
      </c>
      <c r="D18" s="177">
        <v>9.8800000000000008</v>
      </c>
      <c r="E18" s="177">
        <v>14.84</v>
      </c>
      <c r="F18" s="177">
        <v>24.12</v>
      </c>
      <c r="G18" s="177">
        <v>38.1</v>
      </c>
      <c r="H18" s="177">
        <v>56.08</v>
      </c>
      <c r="I18" s="177">
        <v>77.02</v>
      </c>
      <c r="J18" s="174">
        <v>100</v>
      </c>
    </row>
    <row r="19" spans="1:10" x14ac:dyDescent="0.3">
      <c r="A19" s="178">
        <v>14</v>
      </c>
      <c r="B19" s="177">
        <v>7.99</v>
      </c>
      <c r="C19" s="177">
        <v>8</v>
      </c>
      <c r="D19" s="177">
        <v>10.3</v>
      </c>
      <c r="E19" s="177">
        <v>15.42</v>
      </c>
      <c r="F19" s="177">
        <v>24.53</v>
      </c>
      <c r="G19" s="177">
        <v>38.51</v>
      </c>
      <c r="H19" s="177">
        <v>56.38</v>
      </c>
      <c r="I19" s="177">
        <v>77.180000000000007</v>
      </c>
      <c r="J19" s="174">
        <v>100</v>
      </c>
    </row>
    <row r="20" spans="1:10" x14ac:dyDescent="0.3">
      <c r="A20" s="178">
        <v>15</v>
      </c>
      <c r="B20" s="177">
        <v>8.6199999999999992</v>
      </c>
      <c r="C20" s="177">
        <v>8.65</v>
      </c>
      <c r="D20" s="177">
        <v>10.93</v>
      </c>
      <c r="E20" s="177">
        <v>16.02</v>
      </c>
      <c r="F20" s="177">
        <v>25.16</v>
      </c>
      <c r="G20" s="177">
        <v>38.950000000000003</v>
      </c>
      <c r="H20" s="177">
        <v>56.69</v>
      </c>
      <c r="I20" s="177">
        <f>I19+0.16</f>
        <v>77.34</v>
      </c>
      <c r="J20" s="174">
        <v>100</v>
      </c>
    </row>
    <row r="21" spans="1:10" x14ac:dyDescent="0.3">
      <c r="A21" s="178">
        <v>16</v>
      </c>
      <c r="B21" s="177">
        <v>9.2899999999999991</v>
      </c>
      <c r="C21" s="177">
        <v>9.3000000000000007</v>
      </c>
      <c r="D21" s="177">
        <v>11.57</v>
      </c>
      <c r="E21" s="177">
        <v>16.62</v>
      </c>
      <c r="F21" s="177">
        <v>25.7</v>
      </c>
      <c r="G21" s="177">
        <v>39.39</v>
      </c>
      <c r="H21" s="177">
        <v>57</v>
      </c>
      <c r="I21" s="177">
        <f>I20+0.16</f>
        <v>77.5</v>
      </c>
      <c r="J21" s="174">
        <v>100</v>
      </c>
    </row>
    <row r="22" spans="1:10" x14ac:dyDescent="0.3">
      <c r="A22" s="178">
        <v>17</v>
      </c>
      <c r="B22" s="177">
        <v>9.94</v>
      </c>
      <c r="C22" s="177">
        <v>9.9700000000000006</v>
      </c>
      <c r="D22" s="177">
        <v>12.22</v>
      </c>
      <c r="E22" s="177">
        <v>17.23</v>
      </c>
      <c r="F22" s="177">
        <v>26.25</v>
      </c>
      <c r="G22" s="177">
        <v>39.840000000000003</v>
      </c>
      <c r="H22" s="177">
        <v>57.31</v>
      </c>
      <c r="I22" s="177">
        <f>I21+0.16</f>
        <v>77.66</v>
      </c>
      <c r="J22" s="174">
        <v>100</v>
      </c>
    </row>
    <row r="23" spans="1:10" x14ac:dyDescent="0.3">
      <c r="A23" s="178">
        <v>18</v>
      </c>
      <c r="B23" s="177">
        <v>10.62</v>
      </c>
      <c r="C23" s="177">
        <v>10.64</v>
      </c>
      <c r="D23" s="177">
        <v>12.87</v>
      </c>
      <c r="E23" s="177">
        <v>17.850000000000001</v>
      </c>
      <c r="F23" s="177">
        <v>26.8</v>
      </c>
      <c r="G23" s="177">
        <v>40.29</v>
      </c>
      <c r="H23" s="177">
        <v>57.63</v>
      </c>
      <c r="I23" s="177">
        <v>77.83</v>
      </c>
      <c r="J23" s="174">
        <v>100</v>
      </c>
    </row>
    <row r="24" spans="1:10" x14ac:dyDescent="0.3">
      <c r="A24" s="178">
        <v>19</v>
      </c>
      <c r="B24" s="177">
        <v>11.3</v>
      </c>
      <c r="C24" s="177">
        <v>11.33</v>
      </c>
      <c r="D24" s="177">
        <v>13.54</v>
      </c>
      <c r="E24" s="177">
        <v>18.48</v>
      </c>
      <c r="F24" s="177">
        <v>27.36</v>
      </c>
      <c r="G24" s="177">
        <v>40.75</v>
      </c>
      <c r="H24" s="177">
        <v>57.96</v>
      </c>
      <c r="I24" s="177">
        <v>78</v>
      </c>
      <c r="J24" s="174">
        <v>100</v>
      </c>
    </row>
    <row r="25" spans="1:10" x14ac:dyDescent="0.3">
      <c r="A25" s="178">
        <v>20</v>
      </c>
      <c r="B25" s="177">
        <v>12</v>
      </c>
      <c r="C25" s="177">
        <v>12.01</v>
      </c>
      <c r="D25" s="177">
        <v>14.22</v>
      </c>
      <c r="E25" s="177">
        <v>19.12</v>
      </c>
      <c r="F25" s="177">
        <v>28.93</v>
      </c>
      <c r="G25" s="177">
        <v>41.22</v>
      </c>
      <c r="H25" s="177">
        <v>58.29</v>
      </c>
      <c r="I25" s="177">
        <v>87.17</v>
      </c>
      <c r="J25" s="174">
        <v>100</v>
      </c>
    </row>
    <row r="26" spans="1:10" x14ac:dyDescent="0.3">
      <c r="A26" s="178">
        <v>21</v>
      </c>
      <c r="B26" s="177">
        <v>12.7</v>
      </c>
      <c r="C26" s="177">
        <v>12.73</v>
      </c>
      <c r="D26" s="177">
        <v>14.91</v>
      </c>
      <c r="E26" s="177">
        <v>19.77</v>
      </c>
      <c r="F26" s="177">
        <v>28.51</v>
      </c>
      <c r="G26" s="177">
        <v>41.69</v>
      </c>
      <c r="H26" s="177">
        <v>58.62</v>
      </c>
      <c r="I26" s="177">
        <v>78.349999999999994</v>
      </c>
      <c r="J26" s="174">
        <v>100</v>
      </c>
    </row>
    <row r="27" spans="1:10" x14ac:dyDescent="0.3">
      <c r="A27" s="178">
        <v>22</v>
      </c>
      <c r="B27" s="177">
        <v>13.42</v>
      </c>
      <c r="C27" s="177">
        <v>13.44</v>
      </c>
      <c r="D27" s="177">
        <v>15.6</v>
      </c>
      <c r="E27" s="177">
        <v>20.420000000000002</v>
      </c>
      <c r="F27" s="177">
        <v>29.09</v>
      </c>
      <c r="G27" s="177">
        <v>42.16</v>
      </c>
      <c r="H27" s="177">
        <v>58.96</v>
      </c>
      <c r="I27" s="177">
        <v>78.53</v>
      </c>
      <c r="J27" s="174">
        <v>100</v>
      </c>
    </row>
    <row r="28" spans="1:10" x14ac:dyDescent="0.3">
      <c r="A28" s="178">
        <v>23</v>
      </c>
      <c r="B28" s="177">
        <v>14.14</v>
      </c>
      <c r="C28" s="177">
        <v>14.17</v>
      </c>
      <c r="D28" s="177">
        <v>16.309999999999999</v>
      </c>
      <c r="E28" s="177">
        <v>21.09</v>
      </c>
      <c r="F28" s="177">
        <v>29.68</v>
      </c>
      <c r="G28" s="177">
        <v>42.85</v>
      </c>
      <c r="H28" s="177">
        <v>59.3</v>
      </c>
      <c r="I28" s="177">
        <v>78.709999999999994</v>
      </c>
      <c r="J28" s="174">
        <v>100</v>
      </c>
    </row>
    <row r="29" spans="1:10" x14ac:dyDescent="0.3">
      <c r="A29" s="178">
        <v>24</v>
      </c>
      <c r="B29" s="177">
        <v>14.92</v>
      </c>
      <c r="C29" s="177">
        <v>14.9</v>
      </c>
      <c r="D29" s="177">
        <v>17.03</v>
      </c>
      <c r="E29" s="177">
        <v>21.77</v>
      </c>
      <c r="F29" s="177">
        <v>30.28</v>
      </c>
      <c r="G29" s="177">
        <v>43.14</v>
      </c>
      <c r="H29" s="177">
        <v>59.85</v>
      </c>
      <c r="I29" s="177">
        <v>78.89</v>
      </c>
      <c r="J29" s="174">
        <v>100</v>
      </c>
    </row>
    <row r="30" spans="1:10" x14ac:dyDescent="0.3">
      <c r="A30" s="178">
        <v>25</v>
      </c>
      <c r="B30" s="177">
        <v>15.62</v>
      </c>
      <c r="C30" s="177">
        <v>15.65</v>
      </c>
      <c r="D30" s="177">
        <v>17.75</v>
      </c>
      <c r="E30" s="177">
        <v>22.45</v>
      </c>
      <c r="F30" s="177">
        <v>30.89</v>
      </c>
      <c r="G30" s="177">
        <v>43.64</v>
      </c>
      <c r="H30" s="177">
        <v>60</v>
      </c>
      <c r="I30" s="177">
        <v>79.02</v>
      </c>
      <c r="J30" s="174">
        <v>100</v>
      </c>
    </row>
    <row r="31" spans="1:10" x14ac:dyDescent="0.3">
      <c r="A31" s="178">
        <v>26</v>
      </c>
      <c r="B31" s="177">
        <v>16.329999999999998</v>
      </c>
      <c r="C31" s="177">
        <v>16.399999999999999</v>
      </c>
      <c r="D31" s="177">
        <v>18.489999999999998</v>
      </c>
      <c r="E31" s="177">
        <v>23.14</v>
      </c>
      <c r="F31" s="177">
        <v>31.51</v>
      </c>
      <c r="G31" s="177">
        <v>44.14</v>
      </c>
      <c r="H31" s="177">
        <v>60.36</v>
      </c>
      <c r="I31" s="177">
        <v>79.260000000000005</v>
      </c>
      <c r="J31" s="174">
        <v>100</v>
      </c>
    </row>
    <row r="32" spans="1:10" x14ac:dyDescent="0.3">
      <c r="A32" s="178">
        <v>27</v>
      </c>
      <c r="B32" s="177">
        <v>17.14</v>
      </c>
      <c r="C32" s="177">
        <v>17.170000000000002</v>
      </c>
      <c r="D32" s="177">
        <v>19.23</v>
      </c>
      <c r="E32" s="177">
        <v>23.85</v>
      </c>
      <c r="F32" s="177">
        <v>32.14</v>
      </c>
      <c r="G32" s="177">
        <v>44.65</v>
      </c>
      <c r="H32" s="177">
        <v>60.72</v>
      </c>
      <c r="I32" s="177">
        <v>79.45</v>
      </c>
      <c r="J32" s="174">
        <v>100</v>
      </c>
    </row>
    <row r="33" spans="1:10" x14ac:dyDescent="0.3">
      <c r="A33" s="178">
        <v>28</v>
      </c>
      <c r="B33" s="177">
        <v>17.920000000000002</v>
      </c>
      <c r="C33" s="177">
        <v>19.95</v>
      </c>
      <c r="D33" s="177">
        <v>19.989999999999998</v>
      </c>
      <c r="E33" s="177">
        <v>24.56</v>
      </c>
      <c r="F33" s="177">
        <v>32.78</v>
      </c>
      <c r="G33" s="177">
        <v>45.17</v>
      </c>
      <c r="H33" s="177">
        <v>61.09</v>
      </c>
      <c r="I33" s="177">
        <v>79.61</v>
      </c>
      <c r="J33" s="174">
        <v>100</v>
      </c>
    </row>
    <row r="34" spans="1:10" x14ac:dyDescent="0.3">
      <c r="A34" s="178">
        <v>29</v>
      </c>
      <c r="B34" s="177">
        <v>18.7</v>
      </c>
      <c r="C34" s="177">
        <v>18.73</v>
      </c>
      <c r="D34" s="177">
        <v>20.75</v>
      </c>
      <c r="E34" s="177">
        <v>25.28</v>
      </c>
      <c r="F34" s="177">
        <v>33.42</v>
      </c>
      <c r="G34" s="177">
        <v>45.69</v>
      </c>
      <c r="H34" s="177">
        <v>61.46</v>
      </c>
      <c r="I34" s="177">
        <v>79.84</v>
      </c>
      <c r="J34" s="174">
        <v>100</v>
      </c>
    </row>
    <row r="35" spans="1:10" x14ac:dyDescent="0.3">
      <c r="A35" s="178">
        <v>30</v>
      </c>
      <c r="B35" s="177">
        <v>19.5</v>
      </c>
      <c r="C35" s="177">
        <v>19.52</v>
      </c>
      <c r="D35" s="177">
        <v>21.53</v>
      </c>
      <c r="E35" s="177">
        <v>26.01</v>
      </c>
      <c r="F35" s="177">
        <v>34.07</v>
      </c>
      <c r="G35" s="177">
        <v>46.22</v>
      </c>
      <c r="H35" s="177">
        <v>61.84</v>
      </c>
      <c r="I35" s="177">
        <v>80.040000000000006</v>
      </c>
      <c r="J35" s="174">
        <v>100</v>
      </c>
    </row>
    <row r="36" spans="1:10" x14ac:dyDescent="0.3">
      <c r="A36" s="178">
        <v>31</v>
      </c>
      <c r="B36" s="177">
        <v>20.3</v>
      </c>
      <c r="C36" s="177">
        <v>20.329999999999998</v>
      </c>
      <c r="D36" s="177">
        <v>22.31</v>
      </c>
      <c r="E36" s="177">
        <v>26.75</v>
      </c>
      <c r="F36" s="177">
        <v>34.729999999999997</v>
      </c>
      <c r="G36" s="177">
        <v>46.76</v>
      </c>
      <c r="H36" s="177">
        <v>62.22</v>
      </c>
      <c r="I36" s="177">
        <v>80.239999999999995</v>
      </c>
      <c r="J36" s="174">
        <v>100</v>
      </c>
    </row>
    <row r="37" spans="1:10" x14ac:dyDescent="0.3">
      <c r="A37" s="178">
        <v>32</v>
      </c>
      <c r="B37" s="177">
        <v>21.12</v>
      </c>
      <c r="C37" s="177">
        <v>21.15</v>
      </c>
      <c r="D37" s="177">
        <v>23.11</v>
      </c>
      <c r="E37" s="177">
        <v>27.5</v>
      </c>
      <c r="F37" s="177">
        <v>35.4</v>
      </c>
      <c r="G37" s="177">
        <v>47.11</v>
      </c>
      <c r="H37" s="177">
        <v>62.61</v>
      </c>
      <c r="I37" s="177">
        <f>I36+0.2</f>
        <v>80.44</v>
      </c>
      <c r="J37" s="174">
        <v>100</v>
      </c>
    </row>
    <row r="38" spans="1:10" x14ac:dyDescent="0.3">
      <c r="A38" s="178">
        <v>33</v>
      </c>
      <c r="B38" s="177">
        <v>21.94</v>
      </c>
      <c r="C38" s="177">
        <v>21.97</v>
      </c>
      <c r="D38" s="177">
        <v>23.9</v>
      </c>
      <c r="E38" s="177">
        <v>28.26</v>
      </c>
      <c r="F38" s="177">
        <v>36.07</v>
      </c>
      <c r="G38" s="177">
        <v>47.86</v>
      </c>
      <c r="H38" s="177">
        <v>63</v>
      </c>
      <c r="I38" s="177">
        <v>80.64</v>
      </c>
      <c r="J38" s="174">
        <v>100</v>
      </c>
    </row>
    <row r="39" spans="1:10" x14ac:dyDescent="0.3">
      <c r="A39" s="178">
        <v>34</v>
      </c>
      <c r="B39" s="177">
        <v>22.78</v>
      </c>
      <c r="C39" s="177">
        <v>22.8</v>
      </c>
      <c r="D39" s="177">
        <v>24.73</v>
      </c>
      <c r="E39" s="177">
        <v>29.03</v>
      </c>
      <c r="F39" s="177">
        <v>36.76</v>
      </c>
      <c r="G39" s="177">
        <v>48.42</v>
      </c>
      <c r="H39" s="177">
        <v>63.4</v>
      </c>
      <c r="I39" s="177">
        <v>80.849999999999994</v>
      </c>
      <c r="J39" s="174">
        <v>100</v>
      </c>
    </row>
    <row r="40" spans="1:10" x14ac:dyDescent="0.3">
      <c r="A40" s="178">
        <v>35</v>
      </c>
      <c r="B40" s="177">
        <v>23.62</v>
      </c>
      <c r="C40" s="177">
        <v>23.64</v>
      </c>
      <c r="D40" s="177">
        <v>25.55</v>
      </c>
      <c r="E40" s="177">
        <v>29.8</v>
      </c>
      <c r="F40" s="177">
        <v>37.450000000000003</v>
      </c>
      <c r="G40" s="177">
        <v>48.98</v>
      </c>
      <c r="H40" s="177">
        <v>63.8</v>
      </c>
      <c r="I40" s="177">
        <v>81.06</v>
      </c>
      <c r="J40" s="174">
        <v>100</v>
      </c>
    </row>
    <row r="41" spans="1:10" x14ac:dyDescent="0.3">
      <c r="A41" s="178">
        <v>36</v>
      </c>
      <c r="B41" s="177">
        <v>24.48</v>
      </c>
      <c r="C41" s="177">
        <v>24.5</v>
      </c>
      <c r="D41" s="177">
        <v>26.38</v>
      </c>
      <c r="E41" s="177">
        <v>30.59</v>
      </c>
      <c r="F41" s="177">
        <v>38.15</v>
      </c>
      <c r="G41" s="177">
        <v>49.55</v>
      </c>
      <c r="H41" s="177">
        <v>64.2</v>
      </c>
      <c r="I41" s="177">
        <v>81.27</v>
      </c>
      <c r="J41" s="174">
        <v>100</v>
      </c>
    </row>
    <row r="42" spans="1:10" x14ac:dyDescent="0.3">
      <c r="A42" s="178">
        <v>37</v>
      </c>
      <c r="B42" s="177">
        <v>25.34</v>
      </c>
      <c r="C42" s="177">
        <v>25.34</v>
      </c>
      <c r="D42" s="177">
        <v>27.23</v>
      </c>
      <c r="E42" s="177">
        <v>31.38</v>
      </c>
      <c r="F42" s="177">
        <v>38.86</v>
      </c>
      <c r="G42" s="177">
        <v>50.11</v>
      </c>
      <c r="H42" s="177">
        <v>64.61</v>
      </c>
      <c r="I42" s="177">
        <v>81.48</v>
      </c>
      <c r="J42" s="174">
        <v>100</v>
      </c>
    </row>
    <row r="43" spans="1:10" x14ac:dyDescent="0.3">
      <c r="A43" s="178">
        <v>38</v>
      </c>
      <c r="B43" s="177">
        <v>26.22</v>
      </c>
      <c r="C43" s="177">
        <v>26.24</v>
      </c>
      <c r="D43" s="177">
        <v>28.08</v>
      </c>
      <c r="E43" s="177">
        <v>32.19</v>
      </c>
      <c r="F43" s="177">
        <v>39.57</v>
      </c>
      <c r="G43" s="177">
        <v>50.71</v>
      </c>
      <c r="H43" s="177">
        <v>65.03</v>
      </c>
      <c r="I43" s="177">
        <v>81.7</v>
      </c>
      <c r="J43" s="174">
        <v>100</v>
      </c>
    </row>
    <row r="44" spans="1:10" x14ac:dyDescent="0.3">
      <c r="A44" s="178">
        <v>39</v>
      </c>
      <c r="B44" s="177">
        <v>27.1</v>
      </c>
      <c r="C44" s="177">
        <v>27.12</v>
      </c>
      <c r="D44" s="177">
        <v>28.94</v>
      </c>
      <c r="E44" s="177">
        <v>33</v>
      </c>
      <c r="F44" s="177">
        <v>40.299999999999997</v>
      </c>
      <c r="G44" s="177">
        <v>51.3</v>
      </c>
      <c r="H44" s="177">
        <v>65.45</v>
      </c>
      <c r="I44" s="177">
        <v>81.92</v>
      </c>
      <c r="J44" s="174">
        <v>100</v>
      </c>
    </row>
    <row r="45" spans="1:10" x14ac:dyDescent="0.3">
      <c r="A45" s="178">
        <v>40</v>
      </c>
      <c r="B45" s="177">
        <v>28</v>
      </c>
      <c r="C45" s="177">
        <v>28.02</v>
      </c>
      <c r="D45" s="177">
        <v>29.81</v>
      </c>
      <c r="E45" s="177">
        <v>33.82</v>
      </c>
      <c r="F45" s="177">
        <v>41.03</v>
      </c>
      <c r="G45" s="177">
        <v>51.9</v>
      </c>
      <c r="H45" s="177">
        <v>65.87</v>
      </c>
      <c r="I45" s="177">
        <v>82.14</v>
      </c>
      <c r="J45" s="174">
        <v>100</v>
      </c>
    </row>
    <row r="46" spans="1:10" x14ac:dyDescent="0.3">
      <c r="A46" s="178">
        <v>41</v>
      </c>
      <c r="B46" s="177">
        <v>28.9</v>
      </c>
      <c r="C46" s="177">
        <v>28.92</v>
      </c>
      <c r="D46" s="177">
        <v>30.7</v>
      </c>
      <c r="E46" s="177">
        <v>34.659999999999997</v>
      </c>
      <c r="F46" s="177">
        <v>41.77</v>
      </c>
      <c r="G46" s="177">
        <v>52.51</v>
      </c>
      <c r="H46" s="177">
        <v>66.3</v>
      </c>
      <c r="I46" s="177">
        <v>82.37</v>
      </c>
      <c r="J46" s="174">
        <v>100</v>
      </c>
    </row>
    <row r="47" spans="1:10" x14ac:dyDescent="0.3">
      <c r="A47" s="178">
        <v>42</v>
      </c>
      <c r="B47" s="177">
        <v>29.82</v>
      </c>
      <c r="C47" s="177">
        <v>29.84</v>
      </c>
      <c r="D47" s="177">
        <v>31.59</v>
      </c>
      <c r="E47" s="177">
        <v>35.5</v>
      </c>
      <c r="F47" s="177">
        <v>42.52</v>
      </c>
      <c r="G47" s="177">
        <v>53.12</v>
      </c>
      <c r="H47" s="177">
        <v>66.73</v>
      </c>
      <c r="I47" s="177">
        <v>82.6</v>
      </c>
      <c r="J47" s="174">
        <v>100</v>
      </c>
    </row>
    <row r="48" spans="1:10" x14ac:dyDescent="0.3">
      <c r="A48" s="178">
        <v>43</v>
      </c>
      <c r="B48" s="177">
        <v>30.74</v>
      </c>
      <c r="C48" s="177">
        <v>30.76</v>
      </c>
      <c r="D48" s="177">
        <v>32.49</v>
      </c>
      <c r="E48" s="177">
        <v>36.35</v>
      </c>
      <c r="F48" s="177">
        <v>43.28</v>
      </c>
      <c r="G48" s="177">
        <v>53.74</v>
      </c>
      <c r="H48" s="177">
        <v>67.17</v>
      </c>
      <c r="I48" s="177">
        <v>82.83</v>
      </c>
      <c r="J48" s="174">
        <v>100</v>
      </c>
    </row>
    <row r="49" spans="1:10" x14ac:dyDescent="0.3">
      <c r="A49" s="178">
        <v>44</v>
      </c>
      <c r="B49" s="177">
        <v>31.68</v>
      </c>
      <c r="C49" s="177">
        <v>31.7</v>
      </c>
      <c r="D49" s="177">
        <v>33.4</v>
      </c>
      <c r="E49" s="177">
        <v>37.21</v>
      </c>
      <c r="F49" s="177">
        <v>44.05</v>
      </c>
      <c r="G49" s="177">
        <v>54.36</v>
      </c>
      <c r="H49" s="177">
        <v>67.61</v>
      </c>
      <c r="I49" s="177">
        <v>83.06</v>
      </c>
      <c r="J49" s="174">
        <v>100</v>
      </c>
    </row>
    <row r="50" spans="1:10" x14ac:dyDescent="0.3">
      <c r="A50" s="178">
        <v>45</v>
      </c>
      <c r="B50" s="177">
        <v>32.619999999999997</v>
      </c>
      <c r="C50" s="177">
        <v>32.64</v>
      </c>
      <c r="D50" s="177">
        <v>34.32</v>
      </c>
      <c r="E50" s="177">
        <v>38.08</v>
      </c>
      <c r="F50" s="177">
        <v>44.82</v>
      </c>
      <c r="G50" s="177">
        <v>54.99</v>
      </c>
      <c r="H50" s="177">
        <v>68.06</v>
      </c>
      <c r="I50" s="177">
        <v>83.29</v>
      </c>
      <c r="J50" s="174">
        <v>100</v>
      </c>
    </row>
    <row r="51" spans="1:10" x14ac:dyDescent="0.3">
      <c r="A51" s="178">
        <v>46</v>
      </c>
      <c r="B51" s="177">
        <v>33.58</v>
      </c>
      <c r="C51" s="177">
        <v>33.6</v>
      </c>
      <c r="D51" s="177">
        <v>35.25</v>
      </c>
      <c r="E51" s="177">
        <v>38.950000000000003</v>
      </c>
      <c r="F51" s="177">
        <v>45.6</v>
      </c>
      <c r="G51" s="177">
        <v>55.63</v>
      </c>
      <c r="H51" s="177">
        <v>68.510000000000005</v>
      </c>
      <c r="I51" s="177">
        <v>83.53</v>
      </c>
      <c r="J51" s="174">
        <v>100</v>
      </c>
    </row>
    <row r="52" spans="1:10" x14ac:dyDescent="0.3">
      <c r="A52" s="178">
        <v>47</v>
      </c>
      <c r="B52" s="177">
        <v>34.54</v>
      </c>
      <c r="C52" s="177">
        <v>34.56</v>
      </c>
      <c r="D52" s="177">
        <v>26.19</v>
      </c>
      <c r="E52" s="177">
        <v>39.840000000000003</v>
      </c>
      <c r="F52" s="177">
        <v>46.39</v>
      </c>
      <c r="G52" s="177">
        <v>56.23</v>
      </c>
      <c r="H52" s="177">
        <v>68.97</v>
      </c>
      <c r="I52" s="177">
        <v>83.77</v>
      </c>
      <c r="J52" s="174">
        <v>100</v>
      </c>
    </row>
    <row r="53" spans="1:10" x14ac:dyDescent="0.3">
      <c r="A53" s="178">
        <v>48</v>
      </c>
      <c r="B53" s="177">
        <v>35.520000000000003</v>
      </c>
      <c r="C53" s="177">
        <v>35.54</v>
      </c>
      <c r="D53" s="177">
        <v>27.14</v>
      </c>
      <c r="E53" s="177">
        <v>40.74</v>
      </c>
      <c r="F53" s="177">
        <v>47.19</v>
      </c>
      <c r="G53" s="177">
        <v>56.93</v>
      </c>
      <c r="H53" s="177">
        <v>69.430000000000007</v>
      </c>
      <c r="I53" s="177">
        <v>84.01</v>
      </c>
      <c r="J53" s="174">
        <v>100</v>
      </c>
    </row>
    <row r="54" spans="1:10" x14ac:dyDescent="0.3">
      <c r="A54" s="178">
        <v>49</v>
      </c>
      <c r="B54" s="177">
        <v>36.5</v>
      </c>
      <c r="C54" s="177">
        <v>36.520000000000003</v>
      </c>
      <c r="D54" s="177">
        <v>38.1</v>
      </c>
      <c r="E54" s="177">
        <v>41.64</v>
      </c>
      <c r="F54" s="177">
        <v>48</v>
      </c>
      <c r="G54" s="177">
        <v>57.59</v>
      </c>
      <c r="H54" s="177">
        <v>69.900000000000006</v>
      </c>
      <c r="I54" s="177">
        <v>84.25</v>
      </c>
      <c r="J54" s="174">
        <v>100</v>
      </c>
    </row>
    <row r="55" spans="1:10" x14ac:dyDescent="0.3">
      <c r="A55" s="178">
        <v>50</v>
      </c>
      <c r="B55" s="177">
        <v>37.5</v>
      </c>
      <c r="C55" s="177">
        <v>37.520000000000003</v>
      </c>
      <c r="D55" s="177">
        <v>39.07</v>
      </c>
      <c r="E55" s="177">
        <v>42.56</v>
      </c>
      <c r="F55" s="177">
        <v>48.81</v>
      </c>
      <c r="G55" s="177">
        <v>58.25</v>
      </c>
      <c r="H55" s="177">
        <v>70.37</v>
      </c>
      <c r="I55" s="177">
        <v>84.5</v>
      </c>
      <c r="J55" s="174">
        <v>100</v>
      </c>
    </row>
    <row r="56" spans="1:10" x14ac:dyDescent="0.3">
      <c r="A56" s="178">
        <v>51</v>
      </c>
      <c r="B56" s="177">
        <v>38.5</v>
      </c>
      <c r="C56" s="177">
        <v>38.520000000000003</v>
      </c>
      <c r="D56" s="177">
        <v>40.049999999999997</v>
      </c>
      <c r="E56" s="177">
        <v>43.48</v>
      </c>
      <c r="F56" s="177">
        <v>49.63</v>
      </c>
      <c r="G56" s="177">
        <v>58.92</v>
      </c>
      <c r="H56" s="177">
        <v>70.849999999999994</v>
      </c>
      <c r="I56" s="177">
        <v>84.75</v>
      </c>
      <c r="J56" s="174">
        <v>100</v>
      </c>
    </row>
    <row r="57" spans="1:10" x14ac:dyDescent="0.3">
      <c r="A57" s="178">
        <v>52</v>
      </c>
      <c r="B57" s="177">
        <v>39.520000000000003</v>
      </c>
      <c r="C57" s="177">
        <v>39.53</v>
      </c>
      <c r="D57" s="177">
        <v>41.04</v>
      </c>
      <c r="E57" s="177">
        <v>44.41</v>
      </c>
      <c r="F57" s="177">
        <v>50.46</v>
      </c>
      <c r="G57" s="177">
        <v>59.6</v>
      </c>
      <c r="H57" s="177">
        <v>71.33</v>
      </c>
      <c r="I57" s="177">
        <v>85</v>
      </c>
      <c r="J57" s="174">
        <v>100</v>
      </c>
    </row>
    <row r="58" spans="1:10" x14ac:dyDescent="0.3">
      <c r="A58" s="178">
        <v>53</v>
      </c>
      <c r="B58" s="177">
        <v>40.54</v>
      </c>
      <c r="C58" s="177">
        <v>40.56</v>
      </c>
      <c r="D58" s="177">
        <v>42.04</v>
      </c>
      <c r="E58" s="177">
        <v>45.35</v>
      </c>
      <c r="F58" s="177">
        <v>51.3</v>
      </c>
      <c r="G58" s="177">
        <v>60.28</v>
      </c>
      <c r="H58" s="177">
        <v>71.819999999999993</v>
      </c>
      <c r="I58" s="177">
        <v>85.25</v>
      </c>
      <c r="J58" s="174">
        <v>100</v>
      </c>
    </row>
    <row r="59" spans="1:10" x14ac:dyDescent="0.3">
      <c r="A59" s="178">
        <v>54</v>
      </c>
      <c r="B59" s="177">
        <v>41.58</v>
      </c>
      <c r="C59" s="177">
        <v>41.59</v>
      </c>
      <c r="D59" s="177">
        <v>43.05</v>
      </c>
      <c r="E59" s="177">
        <v>46.3</v>
      </c>
      <c r="F59" s="177">
        <v>52.15</v>
      </c>
      <c r="G59" s="177">
        <v>60.97</v>
      </c>
      <c r="H59" s="177">
        <v>72.31</v>
      </c>
      <c r="I59" s="177">
        <v>85.51</v>
      </c>
      <c r="J59" s="174">
        <v>100</v>
      </c>
    </row>
    <row r="60" spans="1:10" x14ac:dyDescent="0.3">
      <c r="A60" s="178">
        <v>55</v>
      </c>
      <c r="B60" s="177">
        <v>42.62</v>
      </c>
      <c r="C60" s="177">
        <v>42.64</v>
      </c>
      <c r="D60" s="177">
        <v>44.07</v>
      </c>
      <c r="E60" s="177">
        <v>47.26</v>
      </c>
      <c r="F60" s="177">
        <v>53.01</v>
      </c>
      <c r="G60" s="177">
        <v>61.67</v>
      </c>
      <c r="H60" s="177">
        <v>72.8</v>
      </c>
      <c r="I60" s="177">
        <v>85.77</v>
      </c>
      <c r="J60" s="174">
        <v>100</v>
      </c>
    </row>
    <row r="61" spans="1:10" x14ac:dyDescent="0.3">
      <c r="A61" s="178">
        <v>56</v>
      </c>
      <c r="B61" s="177">
        <v>43.68</v>
      </c>
      <c r="C61" s="177">
        <v>43.69</v>
      </c>
      <c r="D61" s="177">
        <v>45.1</v>
      </c>
      <c r="E61" s="177">
        <v>48.24</v>
      </c>
      <c r="F61" s="177">
        <v>53.87</v>
      </c>
      <c r="G61" s="177">
        <v>62.39</v>
      </c>
      <c r="H61" s="177">
        <v>73.3</v>
      </c>
      <c r="I61" s="177">
        <v>86.03</v>
      </c>
      <c r="J61" s="174">
        <v>100</v>
      </c>
    </row>
    <row r="62" spans="1:10" x14ac:dyDescent="0.3">
      <c r="A62" s="178">
        <v>57</v>
      </c>
      <c r="B62" s="177">
        <v>44.74</v>
      </c>
      <c r="C62" s="177">
        <v>44.76</v>
      </c>
      <c r="D62" s="177">
        <v>46.14</v>
      </c>
      <c r="E62" s="177">
        <v>49.22</v>
      </c>
      <c r="F62" s="177">
        <v>54.74</v>
      </c>
      <c r="G62" s="177">
        <v>63.09</v>
      </c>
      <c r="H62" s="177">
        <v>73.81</v>
      </c>
      <c r="I62" s="177">
        <v>86.29</v>
      </c>
      <c r="J62" s="174">
        <v>100</v>
      </c>
    </row>
    <row r="63" spans="1:10" x14ac:dyDescent="0.3">
      <c r="A63" s="178">
        <v>58</v>
      </c>
      <c r="B63" s="177">
        <v>45.82</v>
      </c>
      <c r="C63" s="177">
        <v>45.83</v>
      </c>
      <c r="D63" s="177">
        <v>47.19</v>
      </c>
      <c r="E63" s="177">
        <v>50.2</v>
      </c>
      <c r="F63" s="177">
        <v>55.62</v>
      </c>
      <c r="G63" s="177">
        <v>63.81</v>
      </c>
      <c r="H63" s="177">
        <v>74.319999999999993</v>
      </c>
      <c r="I63" s="177">
        <v>86.56</v>
      </c>
      <c r="J63" s="174">
        <v>100</v>
      </c>
    </row>
    <row r="64" spans="1:10" x14ac:dyDescent="0.3">
      <c r="A64" s="178">
        <v>59</v>
      </c>
      <c r="B64" s="177">
        <v>46.9</v>
      </c>
      <c r="C64" s="177">
        <v>46.92</v>
      </c>
      <c r="D64" s="177">
        <v>48.25</v>
      </c>
      <c r="E64" s="177">
        <v>51.2</v>
      </c>
      <c r="F64" s="177">
        <v>56.51</v>
      </c>
      <c r="G64" s="177">
        <v>64.53</v>
      </c>
      <c r="H64" s="177">
        <v>74.83</v>
      </c>
      <c r="I64" s="177">
        <v>86.83</v>
      </c>
      <c r="J64" s="174">
        <v>100</v>
      </c>
    </row>
    <row r="65" spans="1:10" x14ac:dyDescent="0.3">
      <c r="A65" s="178">
        <v>60</v>
      </c>
      <c r="B65" s="177">
        <v>48</v>
      </c>
      <c r="C65" s="177">
        <v>48.01</v>
      </c>
      <c r="D65" s="177">
        <v>49.32</v>
      </c>
      <c r="E65" s="177">
        <v>52.2</v>
      </c>
      <c r="F65" s="177">
        <v>57.41</v>
      </c>
      <c r="G65" s="177">
        <v>65.260000000000005</v>
      </c>
      <c r="H65" s="177">
        <v>75.349999999999994</v>
      </c>
      <c r="I65" s="177">
        <v>87.1</v>
      </c>
      <c r="J65" s="174">
        <v>100</v>
      </c>
    </row>
    <row r="66" spans="1:10" x14ac:dyDescent="0.3">
      <c r="A66" s="178">
        <v>61</v>
      </c>
      <c r="B66" s="177">
        <v>49.1</v>
      </c>
      <c r="C66" s="177">
        <v>49.12</v>
      </c>
      <c r="D66" s="177">
        <v>50.39</v>
      </c>
      <c r="E66" s="177">
        <v>53.22</v>
      </c>
      <c r="F66" s="177">
        <v>58.32</v>
      </c>
      <c r="G66" s="177">
        <v>66</v>
      </c>
      <c r="H66" s="177">
        <v>75.87</v>
      </c>
      <c r="I66" s="177">
        <v>87.38</v>
      </c>
      <c r="J66" s="174">
        <v>100</v>
      </c>
    </row>
    <row r="67" spans="1:10" x14ac:dyDescent="0.3">
      <c r="A67" s="178">
        <v>62</v>
      </c>
      <c r="B67" s="177">
        <v>50.22</v>
      </c>
      <c r="C67" s="177">
        <v>50.23</v>
      </c>
      <c r="D67" s="177">
        <v>51.47</v>
      </c>
      <c r="E67" s="177">
        <v>54.25</v>
      </c>
      <c r="F67" s="177">
        <v>58.23</v>
      </c>
      <c r="G67" s="177">
        <v>66.75</v>
      </c>
      <c r="H67" s="177">
        <v>76.400000000000006</v>
      </c>
      <c r="I67" s="177">
        <v>87.66</v>
      </c>
      <c r="J67" s="174">
        <v>100</v>
      </c>
    </row>
    <row r="68" spans="1:10" x14ac:dyDescent="0.3">
      <c r="A68" s="178">
        <v>63</v>
      </c>
      <c r="B68" s="177">
        <v>51.34</v>
      </c>
      <c r="C68" s="177">
        <v>51.26</v>
      </c>
      <c r="D68" s="177">
        <v>52.57</v>
      </c>
      <c r="E68" s="177">
        <v>55.28</v>
      </c>
      <c r="F68" s="177">
        <v>60.15</v>
      </c>
      <c r="G68" s="177">
        <v>67.5</v>
      </c>
      <c r="H68" s="177">
        <v>76.94</v>
      </c>
      <c r="I68" s="177">
        <v>87.94</v>
      </c>
      <c r="J68" s="174">
        <v>100</v>
      </c>
    </row>
    <row r="69" spans="1:10" x14ac:dyDescent="0.3">
      <c r="A69" s="178">
        <v>64</v>
      </c>
      <c r="B69" s="177">
        <v>52.48</v>
      </c>
      <c r="C69" s="177">
        <v>52.49</v>
      </c>
      <c r="D69" s="177">
        <v>53.68</v>
      </c>
      <c r="E69" s="177">
        <v>56.32</v>
      </c>
      <c r="F69" s="177">
        <v>61.08</v>
      </c>
      <c r="G69" s="177">
        <v>68.260000000000005</v>
      </c>
      <c r="H69" s="177">
        <v>77.48</v>
      </c>
      <c r="I69" s="177">
        <v>88.22</v>
      </c>
      <c r="J69" s="174">
        <v>100</v>
      </c>
    </row>
    <row r="70" spans="1:10" x14ac:dyDescent="0.3">
      <c r="A70" s="178">
        <v>65</v>
      </c>
      <c r="B70" s="177">
        <v>53.62</v>
      </c>
      <c r="C70" s="177">
        <v>53.64</v>
      </c>
      <c r="D70" s="177">
        <v>54.8</v>
      </c>
      <c r="E70" s="177">
        <v>57.38</v>
      </c>
      <c r="F70" s="177">
        <v>62.02</v>
      </c>
      <c r="G70" s="177">
        <v>69.02</v>
      </c>
      <c r="H70" s="177">
        <v>78.02</v>
      </c>
      <c r="I70" s="177">
        <v>88.5</v>
      </c>
      <c r="J70" s="174">
        <v>100</v>
      </c>
    </row>
    <row r="71" spans="1:10" x14ac:dyDescent="0.3">
      <c r="A71" s="178">
        <v>66</v>
      </c>
      <c r="B71" s="177">
        <v>54.78</v>
      </c>
      <c r="C71" s="177">
        <v>54.79</v>
      </c>
      <c r="D71" s="177">
        <v>55.93</v>
      </c>
      <c r="E71" s="177">
        <v>58.44</v>
      </c>
      <c r="F71" s="177">
        <v>62.96</v>
      </c>
      <c r="G71" s="177">
        <v>69.790000000000006</v>
      </c>
      <c r="H71" s="177">
        <v>78.569999999999993</v>
      </c>
      <c r="I71" s="177">
        <v>88.79</v>
      </c>
      <c r="J71" s="174">
        <v>100</v>
      </c>
    </row>
    <row r="72" spans="1:10" x14ac:dyDescent="0.3">
      <c r="A72" s="178">
        <v>67</v>
      </c>
      <c r="B72" s="177">
        <v>55.94</v>
      </c>
      <c r="C72" s="177">
        <v>55.95</v>
      </c>
      <c r="D72" s="177">
        <v>57.06</v>
      </c>
      <c r="E72" s="177">
        <v>59.51</v>
      </c>
      <c r="F72" s="177">
        <v>63.92</v>
      </c>
      <c r="G72" s="177">
        <v>70.569999999999993</v>
      </c>
      <c r="H72" s="177">
        <v>79.12</v>
      </c>
      <c r="I72" s="177">
        <v>89.08</v>
      </c>
      <c r="J72" s="174">
        <v>100</v>
      </c>
    </row>
    <row r="73" spans="1:10" x14ac:dyDescent="0.3">
      <c r="A73" s="178">
        <v>68</v>
      </c>
      <c r="B73" s="177">
        <v>57.12</v>
      </c>
      <c r="C73" s="177">
        <v>57.13</v>
      </c>
      <c r="D73" s="177">
        <v>58.2</v>
      </c>
      <c r="E73" s="177">
        <v>60.59</v>
      </c>
      <c r="F73" s="177">
        <v>64.88</v>
      </c>
      <c r="G73" s="177">
        <v>71.36</v>
      </c>
      <c r="H73" s="177">
        <v>79.63</v>
      </c>
      <c r="I73" s="177">
        <v>89.37</v>
      </c>
      <c r="J73" s="174">
        <v>100</v>
      </c>
    </row>
    <row r="74" spans="1:10" x14ac:dyDescent="0.3">
      <c r="A74" s="178">
        <v>69</v>
      </c>
      <c r="B74" s="177">
        <v>58.3</v>
      </c>
      <c r="C74" s="177">
        <v>58.31</v>
      </c>
      <c r="D74" s="177">
        <v>59.36</v>
      </c>
      <c r="E74" s="177">
        <v>61.68</v>
      </c>
      <c r="F74" s="177">
        <v>65.05</v>
      </c>
      <c r="G74" s="177">
        <v>72.150000000000006</v>
      </c>
      <c r="H74" s="177">
        <v>80.239999999999995</v>
      </c>
      <c r="I74" s="177">
        <v>89.66</v>
      </c>
      <c r="J74" s="174">
        <v>100</v>
      </c>
    </row>
    <row r="75" spans="1:10" x14ac:dyDescent="0.3">
      <c r="A75" s="178">
        <v>70</v>
      </c>
      <c r="B75" s="177">
        <v>59.5</v>
      </c>
      <c r="C75" s="177">
        <v>59.51</v>
      </c>
      <c r="D75" s="177">
        <v>60.52</v>
      </c>
      <c r="E75" s="177">
        <v>62.78</v>
      </c>
      <c r="F75" s="177">
        <v>66.83</v>
      </c>
      <c r="G75" s="177">
        <v>72.95</v>
      </c>
      <c r="H75" s="177">
        <v>80.8</v>
      </c>
      <c r="I75" s="177">
        <v>89.69</v>
      </c>
      <c r="J75" s="174">
        <v>100</v>
      </c>
    </row>
    <row r="76" spans="1:10" x14ac:dyDescent="0.3">
      <c r="A76" s="178">
        <v>71</v>
      </c>
      <c r="B76" s="177">
        <v>60.7</v>
      </c>
      <c r="C76" s="177">
        <v>60.71</v>
      </c>
      <c r="D76" s="177">
        <v>61.7</v>
      </c>
      <c r="E76" s="177">
        <v>63.88</v>
      </c>
      <c r="F76" s="177">
        <v>67.819999999999993</v>
      </c>
      <c r="G76" s="177">
        <v>73.75</v>
      </c>
      <c r="H76" s="177">
        <v>81.37</v>
      </c>
      <c r="I76" s="177">
        <v>90.26</v>
      </c>
      <c r="J76" s="174">
        <v>100</v>
      </c>
    </row>
    <row r="77" spans="1:10" x14ac:dyDescent="0.3">
      <c r="A77" s="178">
        <v>72</v>
      </c>
      <c r="B77" s="177">
        <v>61.92</v>
      </c>
      <c r="C77" s="177">
        <f t="shared" ref="C77:C84" si="0">B77+0.01</f>
        <v>61.93</v>
      </c>
      <c r="D77" s="177">
        <v>62.88</v>
      </c>
      <c r="E77" s="177">
        <v>65</v>
      </c>
      <c r="F77" s="177">
        <v>68.81</v>
      </c>
      <c r="G77" s="177">
        <v>74.56</v>
      </c>
      <c r="H77" s="177">
        <v>81.95</v>
      </c>
      <c r="I77" s="177">
        <v>90.56</v>
      </c>
      <c r="J77" s="174">
        <v>100</v>
      </c>
    </row>
    <row r="78" spans="1:10" x14ac:dyDescent="0.3">
      <c r="A78" s="178">
        <v>73</v>
      </c>
      <c r="B78" s="177">
        <v>63.14</v>
      </c>
      <c r="C78" s="177">
        <f t="shared" si="0"/>
        <v>63.15</v>
      </c>
      <c r="D78" s="177">
        <v>64.08</v>
      </c>
      <c r="E78" s="177">
        <v>66.13</v>
      </c>
      <c r="F78" s="177">
        <v>69.81</v>
      </c>
      <c r="G78" s="177">
        <v>75.38</v>
      </c>
      <c r="H78" s="177">
        <v>82.53</v>
      </c>
      <c r="I78" s="177">
        <v>90.85</v>
      </c>
      <c r="J78" s="174">
        <v>100</v>
      </c>
    </row>
    <row r="79" spans="1:10" x14ac:dyDescent="0.3">
      <c r="A79" s="178">
        <v>74</v>
      </c>
      <c r="B79" s="177">
        <v>64.38</v>
      </c>
      <c r="C79" s="177">
        <f t="shared" si="0"/>
        <v>64.39</v>
      </c>
      <c r="D79" s="177">
        <v>65.28</v>
      </c>
      <c r="E79" s="177">
        <v>67.27</v>
      </c>
      <c r="F79" s="177">
        <v>70.83</v>
      </c>
      <c r="G79" s="177">
        <v>76.209999999999994</v>
      </c>
      <c r="H79" s="177">
        <v>83.12</v>
      </c>
      <c r="I79" s="177">
        <v>91.17</v>
      </c>
      <c r="J79" s="174">
        <v>100</v>
      </c>
    </row>
    <row r="80" spans="1:10" x14ac:dyDescent="0.3">
      <c r="A80" s="178">
        <v>75</v>
      </c>
      <c r="B80" s="177">
        <v>65.62</v>
      </c>
      <c r="C80" s="177">
        <f t="shared" si="0"/>
        <v>65.63000000000001</v>
      </c>
      <c r="D80" s="177">
        <v>66.489999999999995</v>
      </c>
      <c r="E80" s="177">
        <v>68.41</v>
      </c>
      <c r="F80" s="177">
        <v>71.849999999999994</v>
      </c>
      <c r="G80" s="177">
        <v>77.040000000000006</v>
      </c>
      <c r="H80" s="177">
        <v>83.71</v>
      </c>
      <c r="I80" s="177">
        <v>91.47</v>
      </c>
      <c r="J80" s="174">
        <v>100</v>
      </c>
    </row>
    <row r="81" spans="1:10" x14ac:dyDescent="0.3">
      <c r="A81" s="178">
        <v>76</v>
      </c>
      <c r="B81" s="177">
        <v>66.88</v>
      </c>
      <c r="C81" s="177">
        <f t="shared" si="0"/>
        <v>66.89</v>
      </c>
      <c r="D81" s="177">
        <v>67.709999999999994</v>
      </c>
      <c r="E81" s="177">
        <v>69.569999999999993</v>
      </c>
      <c r="F81" s="177">
        <v>72.87</v>
      </c>
      <c r="G81" s="177">
        <v>77.88</v>
      </c>
      <c r="H81" s="177">
        <v>84.3</v>
      </c>
      <c r="I81" s="177">
        <v>91.78</v>
      </c>
      <c r="J81" s="174">
        <v>100</v>
      </c>
    </row>
    <row r="82" spans="1:10" x14ac:dyDescent="0.3">
      <c r="A82" s="178">
        <v>77</v>
      </c>
      <c r="B82" s="177">
        <v>68.14</v>
      </c>
      <c r="C82" s="177">
        <f t="shared" si="0"/>
        <v>68.150000000000006</v>
      </c>
      <c r="D82" s="177">
        <v>68.95</v>
      </c>
      <c r="E82" s="177">
        <v>70.73</v>
      </c>
      <c r="F82" s="177">
        <v>73.91</v>
      </c>
      <c r="G82" s="177">
        <v>78.72</v>
      </c>
      <c r="H82" s="177">
        <v>84.9</v>
      </c>
      <c r="I82" s="177">
        <v>92.1</v>
      </c>
      <c r="J82" s="174">
        <v>100</v>
      </c>
    </row>
    <row r="83" spans="1:10" x14ac:dyDescent="0.3">
      <c r="A83" s="178">
        <v>78</v>
      </c>
      <c r="B83" s="177">
        <v>69.42</v>
      </c>
      <c r="C83" s="177">
        <f t="shared" si="0"/>
        <v>69.430000000000007</v>
      </c>
      <c r="D83" s="177">
        <v>70.19</v>
      </c>
      <c r="E83" s="177">
        <v>71.900000000000006</v>
      </c>
      <c r="F83" s="177">
        <v>74.95</v>
      </c>
      <c r="G83" s="177">
        <v>79.569999999999993</v>
      </c>
      <c r="H83" s="177">
        <v>85.5</v>
      </c>
      <c r="I83" s="177">
        <v>92.42</v>
      </c>
      <c r="J83" s="174">
        <v>100</v>
      </c>
    </row>
    <row r="84" spans="1:10" x14ac:dyDescent="0.3">
      <c r="A84" s="178">
        <v>79</v>
      </c>
      <c r="B84" s="177">
        <v>70.7</v>
      </c>
      <c r="C84" s="177">
        <f t="shared" si="0"/>
        <v>70.710000000000008</v>
      </c>
      <c r="D84" s="177">
        <v>71.44</v>
      </c>
      <c r="E84" s="177">
        <v>73.08</v>
      </c>
      <c r="F84" s="177">
        <v>76.010000000000005</v>
      </c>
      <c r="G84" s="177">
        <v>80.430000000000007</v>
      </c>
      <c r="H84" s="177">
        <v>86.11</v>
      </c>
      <c r="I84" s="177">
        <v>92.74</v>
      </c>
      <c r="J84" s="174">
        <v>100</v>
      </c>
    </row>
    <row r="85" spans="1:10" x14ac:dyDescent="0.3">
      <c r="A85" s="178">
        <v>80</v>
      </c>
      <c r="B85" s="177">
        <v>72</v>
      </c>
      <c r="C85" s="177">
        <v>73</v>
      </c>
      <c r="D85" s="177">
        <v>72.709999999999994</v>
      </c>
      <c r="E85" s="177">
        <v>74.28</v>
      </c>
      <c r="F85" s="177">
        <v>77.069999999999993</v>
      </c>
      <c r="G85" s="177">
        <v>81.3</v>
      </c>
      <c r="H85" s="177">
        <v>86.73</v>
      </c>
      <c r="I85" s="177">
        <v>93</v>
      </c>
      <c r="J85" s="174">
        <v>100</v>
      </c>
    </row>
    <row r="86" spans="1:10" x14ac:dyDescent="0.3">
      <c r="A86" s="178">
        <v>81</v>
      </c>
      <c r="B86" s="177">
        <v>73.3</v>
      </c>
      <c r="C86" s="177">
        <f>B86+0.01</f>
        <v>73.31</v>
      </c>
      <c r="D86" s="177">
        <v>73.98</v>
      </c>
      <c r="E86" s="177">
        <v>75.48</v>
      </c>
      <c r="F86" s="177">
        <v>78.14</v>
      </c>
      <c r="G86" s="177">
        <v>82.17</v>
      </c>
      <c r="H86" s="177">
        <v>87.35</v>
      </c>
      <c r="I86" s="177">
        <v>93.38</v>
      </c>
      <c r="J86" s="174">
        <v>100</v>
      </c>
    </row>
    <row r="87" spans="1:10" x14ac:dyDescent="0.3">
      <c r="A87" s="178">
        <v>82</v>
      </c>
      <c r="B87" s="177">
        <v>74.62</v>
      </c>
      <c r="C87" s="177">
        <v>74.819999999999993</v>
      </c>
      <c r="D87" s="177">
        <v>75.260000000000005</v>
      </c>
      <c r="E87" s="177">
        <v>76.069999999999993</v>
      </c>
      <c r="F87" s="177">
        <v>79.209999999999994</v>
      </c>
      <c r="G87" s="177">
        <v>83.05</v>
      </c>
      <c r="H87" s="177">
        <v>87.97</v>
      </c>
      <c r="I87" s="177">
        <v>93.7</v>
      </c>
      <c r="J87" s="174">
        <v>100</v>
      </c>
    </row>
    <row r="88" spans="1:10" x14ac:dyDescent="0.3">
      <c r="A88" s="178">
        <v>83</v>
      </c>
      <c r="B88" s="177">
        <v>75.94</v>
      </c>
      <c r="C88" s="177">
        <f>B88+0.01</f>
        <v>75.95</v>
      </c>
      <c r="D88" s="177">
        <v>76.56</v>
      </c>
      <c r="E88" s="177">
        <v>77.89</v>
      </c>
      <c r="F88" s="177">
        <v>80.3</v>
      </c>
      <c r="G88" s="177">
        <v>83.93</v>
      </c>
      <c r="H88" s="177">
        <v>88.6</v>
      </c>
      <c r="I88" s="177">
        <v>94.03</v>
      </c>
      <c r="J88" s="174">
        <v>100</v>
      </c>
    </row>
    <row r="89" spans="1:10" x14ac:dyDescent="0.3">
      <c r="A89" s="178">
        <v>84</v>
      </c>
      <c r="B89" s="177">
        <v>77.48</v>
      </c>
      <c r="C89" s="177">
        <v>77.28</v>
      </c>
      <c r="D89" s="177">
        <v>77.849999999999994</v>
      </c>
      <c r="E89" s="177">
        <v>79.12</v>
      </c>
      <c r="F89" s="177">
        <v>81.39</v>
      </c>
      <c r="G89" s="177">
        <v>84.02</v>
      </c>
      <c r="H89" s="177">
        <v>89.23</v>
      </c>
      <c r="I89" s="177">
        <v>94.36</v>
      </c>
      <c r="J89" s="174">
        <v>100</v>
      </c>
    </row>
    <row r="90" spans="1:10" x14ac:dyDescent="0.3">
      <c r="A90" s="178">
        <v>85</v>
      </c>
      <c r="B90" s="177">
        <v>78.62</v>
      </c>
      <c r="C90" s="177">
        <f>B90+0.01</f>
        <v>78.63000000000001</v>
      </c>
      <c r="D90" s="177">
        <v>79.16</v>
      </c>
      <c r="E90" s="177">
        <v>80.349999999999994</v>
      </c>
      <c r="F90" s="177">
        <v>82.49</v>
      </c>
      <c r="G90" s="177">
        <v>85.72</v>
      </c>
      <c r="H90" s="177">
        <v>89.87</v>
      </c>
      <c r="I90" s="177">
        <v>94.7</v>
      </c>
      <c r="J90" s="174">
        <v>100</v>
      </c>
    </row>
    <row r="91" spans="1:10" x14ac:dyDescent="0.3">
      <c r="A91" s="178">
        <v>86</v>
      </c>
      <c r="B91" s="177">
        <v>79.98</v>
      </c>
      <c r="C91" s="177">
        <v>79.98</v>
      </c>
      <c r="D91" s="177">
        <v>80.48</v>
      </c>
      <c r="E91" s="177">
        <v>81.599999999999994</v>
      </c>
      <c r="F91" s="177">
        <v>83.6</v>
      </c>
      <c r="G91" s="177">
        <v>86.63</v>
      </c>
      <c r="H91" s="177">
        <v>90.51</v>
      </c>
      <c r="I91" s="177">
        <v>95.04</v>
      </c>
      <c r="J91" s="174">
        <v>100</v>
      </c>
    </row>
    <row r="92" spans="1:10" x14ac:dyDescent="0.3">
      <c r="A92" s="178">
        <v>87</v>
      </c>
      <c r="B92" s="177">
        <v>81.34</v>
      </c>
      <c r="C92" s="177">
        <f>B92+0.01</f>
        <v>81.350000000000009</v>
      </c>
      <c r="D92" s="177">
        <v>81.819999999999993</v>
      </c>
      <c r="E92" s="177">
        <v>82.85</v>
      </c>
      <c r="F92" s="177">
        <v>84.72</v>
      </c>
      <c r="G92" s="177">
        <v>87.54</v>
      </c>
      <c r="H92" s="177">
        <v>91.16</v>
      </c>
      <c r="I92" s="177">
        <v>95.38</v>
      </c>
      <c r="J92" s="174">
        <v>100</v>
      </c>
    </row>
    <row r="93" spans="1:10" x14ac:dyDescent="0.3">
      <c r="A93" s="178">
        <v>88</v>
      </c>
      <c r="B93" s="177">
        <v>82.72</v>
      </c>
      <c r="C93" s="177">
        <f>B93+0.01</f>
        <v>82.73</v>
      </c>
      <c r="D93" s="177">
        <v>83.16</v>
      </c>
      <c r="E93" s="177">
        <v>84.12</v>
      </c>
      <c r="F93" s="177">
        <v>85.85</v>
      </c>
      <c r="G93" s="177">
        <v>88.46</v>
      </c>
      <c r="H93" s="177">
        <v>91.81</v>
      </c>
      <c r="I93" s="177">
        <v>95.72</v>
      </c>
      <c r="J93" s="174">
        <v>100</v>
      </c>
    </row>
    <row r="94" spans="1:10" x14ac:dyDescent="0.3">
      <c r="A94" s="178">
        <v>89</v>
      </c>
      <c r="B94" s="177">
        <v>84.1</v>
      </c>
      <c r="C94" s="177">
        <f>B94+0.01</f>
        <v>84.11</v>
      </c>
      <c r="D94" s="177">
        <v>84.51</v>
      </c>
      <c r="E94" s="177">
        <v>85.39</v>
      </c>
      <c r="F94" s="177">
        <v>86.93</v>
      </c>
      <c r="G94" s="177">
        <v>89.38</v>
      </c>
      <c r="H94" s="177">
        <v>92.47</v>
      </c>
      <c r="I94" s="177">
        <v>96.05</v>
      </c>
      <c r="J94" s="174">
        <v>100</v>
      </c>
    </row>
    <row r="95" spans="1:10" x14ac:dyDescent="0.3">
      <c r="A95" s="178">
        <v>90</v>
      </c>
      <c r="B95" s="177">
        <v>85.5</v>
      </c>
      <c r="C95" s="177">
        <f t="shared" ref="C95:C104" si="1">B95</f>
        <v>85.5</v>
      </c>
      <c r="D95" s="177">
        <v>85.87</v>
      </c>
      <c r="E95" s="177">
        <v>86.67</v>
      </c>
      <c r="F95" s="177">
        <v>88.12</v>
      </c>
      <c r="G95" s="177">
        <v>90.31</v>
      </c>
      <c r="H95" s="177">
        <v>93.13</v>
      </c>
      <c r="I95" s="177">
        <v>96.4</v>
      </c>
      <c r="J95" s="174">
        <v>100</v>
      </c>
    </row>
    <row r="96" spans="1:10" x14ac:dyDescent="0.3">
      <c r="A96" s="178">
        <v>91</v>
      </c>
      <c r="B96" s="177">
        <v>86.9</v>
      </c>
      <c r="C96" s="177">
        <f t="shared" si="1"/>
        <v>86.9</v>
      </c>
      <c r="D96" s="177">
        <v>87.23</v>
      </c>
      <c r="E96" s="177">
        <v>87.96</v>
      </c>
      <c r="F96" s="177">
        <v>89.27</v>
      </c>
      <c r="G96" s="177">
        <v>91.25</v>
      </c>
      <c r="H96" s="177">
        <v>93.79</v>
      </c>
      <c r="I96" s="177">
        <v>96.75</v>
      </c>
      <c r="J96" s="174">
        <v>100</v>
      </c>
    </row>
    <row r="97" spans="1:10" x14ac:dyDescent="0.3">
      <c r="A97" s="178">
        <v>92</v>
      </c>
      <c r="B97" s="177">
        <v>88.32</v>
      </c>
      <c r="C97" s="177">
        <f t="shared" si="1"/>
        <v>88.32</v>
      </c>
      <c r="D97" s="177">
        <v>88.61</v>
      </c>
      <c r="E97" s="177">
        <v>89.26</v>
      </c>
      <c r="F97" s="177">
        <v>90.43</v>
      </c>
      <c r="G97" s="177">
        <v>92.2</v>
      </c>
      <c r="H97" s="177">
        <v>94.46</v>
      </c>
      <c r="I97" s="177">
        <v>97.1</v>
      </c>
      <c r="J97" s="174">
        <v>100</v>
      </c>
    </row>
    <row r="98" spans="1:10" x14ac:dyDescent="0.3">
      <c r="A98" s="178">
        <v>93</v>
      </c>
      <c r="B98" s="177">
        <v>89.74</v>
      </c>
      <c r="C98" s="177">
        <f t="shared" si="1"/>
        <v>89.74</v>
      </c>
      <c r="D98" s="177">
        <v>90</v>
      </c>
      <c r="E98" s="177">
        <v>90.57</v>
      </c>
      <c r="F98" s="177">
        <v>91.57</v>
      </c>
      <c r="G98" s="177">
        <v>93.15</v>
      </c>
      <c r="H98" s="177">
        <v>95.14</v>
      </c>
      <c r="I98" s="177">
        <v>97.45</v>
      </c>
      <c r="J98" s="174">
        <v>100</v>
      </c>
    </row>
    <row r="99" spans="1:10" x14ac:dyDescent="0.3">
      <c r="A99" s="178">
        <v>94</v>
      </c>
      <c r="B99" s="177">
        <v>91.18</v>
      </c>
      <c r="C99" s="177">
        <f t="shared" si="1"/>
        <v>91.18</v>
      </c>
      <c r="D99" s="177">
        <v>91.4</v>
      </c>
      <c r="E99" s="177">
        <v>91.89</v>
      </c>
      <c r="F99" s="177">
        <v>92.77</v>
      </c>
      <c r="G99" s="177">
        <v>94.11</v>
      </c>
      <c r="H99" s="177">
        <v>95.82</v>
      </c>
      <c r="I99" s="177">
        <v>97.81</v>
      </c>
      <c r="J99" s="174">
        <v>100</v>
      </c>
    </row>
    <row r="100" spans="1:10" x14ac:dyDescent="0.3">
      <c r="A100" s="178">
        <v>95</v>
      </c>
      <c r="B100" s="177">
        <v>92.62</v>
      </c>
      <c r="C100" s="177">
        <f t="shared" si="1"/>
        <v>92.62</v>
      </c>
      <c r="D100" s="177">
        <v>82.81</v>
      </c>
      <c r="E100" s="177">
        <v>93.22</v>
      </c>
      <c r="F100" s="177">
        <v>93.96</v>
      </c>
      <c r="G100" s="177">
        <v>95.07</v>
      </c>
      <c r="H100" s="177">
        <v>96.5</v>
      </c>
      <c r="I100" s="177">
        <v>98.17</v>
      </c>
      <c r="J100" s="174">
        <v>100</v>
      </c>
    </row>
    <row r="101" spans="1:10" x14ac:dyDescent="0.3">
      <c r="A101" s="178">
        <v>96</v>
      </c>
      <c r="B101" s="177">
        <v>94.08</v>
      </c>
      <c r="C101" s="177">
        <f t="shared" si="1"/>
        <v>94.08</v>
      </c>
      <c r="D101" s="177">
        <v>94.93</v>
      </c>
      <c r="E101" s="177">
        <v>94.56</v>
      </c>
      <c r="F101" s="177">
        <v>95.15</v>
      </c>
      <c r="G101" s="177">
        <v>96.04</v>
      </c>
      <c r="H101" s="177">
        <v>97.19</v>
      </c>
      <c r="I101" s="177">
        <v>98.53</v>
      </c>
      <c r="J101" s="174">
        <v>100</v>
      </c>
    </row>
    <row r="102" spans="1:10" x14ac:dyDescent="0.3">
      <c r="A102" s="178">
        <v>97</v>
      </c>
      <c r="B102" s="177">
        <v>95.54</v>
      </c>
      <c r="C102" s="177">
        <f t="shared" si="1"/>
        <v>95.54</v>
      </c>
      <c r="D102" s="177">
        <v>95.66</v>
      </c>
      <c r="E102" s="177">
        <v>95.61</v>
      </c>
      <c r="F102" s="177">
        <v>95.35</v>
      </c>
      <c r="G102" s="177">
        <v>97.02</v>
      </c>
      <c r="H102" s="177">
        <v>97.89</v>
      </c>
      <c r="I102" s="177">
        <v>89.89</v>
      </c>
      <c r="J102" s="174">
        <v>100</v>
      </c>
    </row>
    <row r="103" spans="1:10" x14ac:dyDescent="0.3">
      <c r="A103" s="178">
        <v>98</v>
      </c>
      <c r="B103" s="177">
        <v>97.02</v>
      </c>
      <c r="C103" s="177">
        <f t="shared" si="1"/>
        <v>97.02</v>
      </c>
      <c r="D103" s="177">
        <v>97.1</v>
      </c>
      <c r="E103" s="177">
        <v>97.26</v>
      </c>
      <c r="F103" s="177">
        <v>97.56</v>
      </c>
      <c r="G103" s="177">
        <v>98.01</v>
      </c>
      <c r="H103" s="177">
        <v>98.59</v>
      </c>
      <c r="I103" s="177">
        <v>99.26</v>
      </c>
      <c r="J103" s="174">
        <v>100</v>
      </c>
    </row>
    <row r="104" spans="1:10" x14ac:dyDescent="0.3">
      <c r="A104" s="178">
        <v>99</v>
      </c>
      <c r="B104" s="177">
        <v>98.5</v>
      </c>
      <c r="C104" s="177">
        <f t="shared" si="1"/>
        <v>98.5</v>
      </c>
      <c r="D104" s="177">
        <v>98.54</v>
      </c>
      <c r="E104" s="177">
        <v>99.63</v>
      </c>
      <c r="F104" s="177">
        <v>98.78</v>
      </c>
      <c r="G104" s="177">
        <v>99</v>
      </c>
      <c r="H104" s="177">
        <v>99.29</v>
      </c>
      <c r="I104" s="177">
        <v>99.63</v>
      </c>
      <c r="J104" s="174">
        <v>100</v>
      </c>
    </row>
    <row r="105" spans="1:10" ht="15" thickBot="1" x14ac:dyDescent="0.35">
      <c r="A105" s="176">
        <v>100</v>
      </c>
      <c r="B105" s="175">
        <v>100</v>
      </c>
      <c r="C105" s="175">
        <v>100</v>
      </c>
      <c r="D105" s="175">
        <v>100</v>
      </c>
      <c r="E105" s="175">
        <v>100</v>
      </c>
      <c r="F105" s="175">
        <v>100</v>
      </c>
      <c r="G105" s="175">
        <v>100</v>
      </c>
      <c r="H105" s="175">
        <v>100</v>
      </c>
      <c r="I105" s="175">
        <v>100</v>
      </c>
      <c r="J105" s="174">
        <v>100</v>
      </c>
    </row>
    <row r="107" spans="1:10" x14ac:dyDescent="0.3">
      <c r="A107" s="173" t="s">
        <v>735</v>
      </c>
      <c r="B107" s="351" t="s">
        <v>734</v>
      </c>
      <c r="C107" s="351"/>
      <c r="D107" s="351"/>
      <c r="E107" s="351"/>
      <c r="F107" s="351"/>
      <c r="G107" s="351"/>
      <c r="H107" s="351"/>
      <c r="I107" s="351"/>
      <c r="J107" s="351"/>
    </row>
    <row r="108" spans="1:10" x14ac:dyDescent="0.3">
      <c r="A108" s="173" t="s">
        <v>733</v>
      </c>
      <c r="B108" s="351" t="s">
        <v>732</v>
      </c>
      <c r="C108" s="351"/>
      <c r="D108" s="351"/>
      <c r="E108" s="351"/>
      <c r="F108" s="351"/>
      <c r="G108" s="351"/>
      <c r="H108" s="351"/>
      <c r="I108" s="351"/>
      <c r="J108" s="351"/>
    </row>
    <row r="109" spans="1:10" x14ac:dyDescent="0.3">
      <c r="A109" s="173" t="s">
        <v>731</v>
      </c>
      <c r="B109" s="351" t="s">
        <v>730</v>
      </c>
      <c r="C109" s="351"/>
      <c r="D109" s="351"/>
      <c r="E109" s="351"/>
      <c r="F109" s="351"/>
      <c r="G109" s="351"/>
      <c r="H109" s="351"/>
      <c r="I109" s="351"/>
      <c r="J109" s="351"/>
    </row>
    <row r="110" spans="1:10" x14ac:dyDescent="0.3">
      <c r="A110" s="173" t="s">
        <v>729</v>
      </c>
      <c r="B110" s="351" t="s">
        <v>728</v>
      </c>
      <c r="C110" s="351"/>
      <c r="D110" s="351"/>
      <c r="E110" s="351"/>
      <c r="F110" s="351"/>
      <c r="G110" s="351"/>
      <c r="H110" s="351"/>
      <c r="I110" s="351"/>
      <c r="J110" s="351"/>
    </row>
    <row r="111" spans="1:10" x14ac:dyDescent="0.3">
      <c r="A111" s="173" t="s">
        <v>727</v>
      </c>
      <c r="B111" s="351" t="s">
        <v>726</v>
      </c>
      <c r="C111" s="351"/>
      <c r="D111" s="351"/>
      <c r="E111" s="351"/>
      <c r="F111" s="351"/>
      <c r="G111" s="351"/>
      <c r="H111" s="351"/>
      <c r="I111" s="351"/>
      <c r="J111" s="351"/>
    </row>
  </sheetData>
  <mergeCells count="8">
    <mergeCell ref="B109:J109"/>
    <mergeCell ref="B110:J110"/>
    <mergeCell ref="B111:J111"/>
    <mergeCell ref="A1:J1"/>
    <mergeCell ref="A2:J2"/>
    <mergeCell ref="B3:J3"/>
    <mergeCell ref="B107:J107"/>
    <mergeCell ref="B108:J108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C6EDF-D27B-4D6B-A199-30E0EAD357D9}">
  <sheetPr codeName="Hoja8">
    <tabColor theme="0"/>
    <pageSetUpPr fitToPage="1"/>
  </sheetPr>
  <dimension ref="A1:S32"/>
  <sheetViews>
    <sheetView showGridLines="0" topLeftCell="A13" zoomScaleNormal="100" workbookViewId="0">
      <selection activeCell="G47" sqref="G47"/>
    </sheetView>
  </sheetViews>
  <sheetFormatPr baseColWidth="10" defaultRowHeight="14.4" x14ac:dyDescent="0.3"/>
  <cols>
    <col min="1" max="1" width="2.44140625" customWidth="1"/>
    <col min="2" max="2" width="14.109375" customWidth="1"/>
    <col min="6" max="6" width="13.6640625" customWidth="1"/>
    <col min="19" max="19" width="3.109375" customWidth="1"/>
  </cols>
  <sheetData>
    <row r="1" spans="1:19" ht="14.4" customHeight="1" x14ac:dyDescent="0.3">
      <c r="A1" s="238"/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  <c r="S1" s="238"/>
    </row>
    <row r="2" spans="1:19" ht="14.4" customHeight="1" x14ac:dyDescent="0.3">
      <c r="A2" s="238" t="s">
        <v>15</v>
      </c>
      <c r="B2" s="238"/>
      <c r="C2" s="238"/>
      <c r="D2" s="238"/>
      <c r="E2" s="238"/>
      <c r="F2" s="238"/>
      <c r="G2" s="238"/>
      <c r="H2" s="238"/>
      <c r="I2" s="238"/>
      <c r="J2" s="238"/>
      <c r="K2" s="238"/>
      <c r="L2" s="238"/>
      <c r="M2" s="238"/>
      <c r="N2" s="238"/>
      <c r="O2" s="238"/>
      <c r="P2" s="238"/>
      <c r="Q2" s="238"/>
      <c r="R2" s="238"/>
      <c r="S2" s="238"/>
    </row>
    <row r="3" spans="1:19" ht="14.4" customHeight="1" x14ac:dyDescent="0.3">
      <c r="A3" s="238" t="s">
        <v>616</v>
      </c>
      <c r="B3" s="238"/>
      <c r="C3" s="238"/>
      <c r="D3" s="238"/>
      <c r="E3" s="238"/>
      <c r="F3" s="238"/>
      <c r="G3" s="238"/>
      <c r="H3" s="238"/>
      <c r="I3" s="238"/>
      <c r="J3" s="238"/>
      <c r="K3" s="238"/>
      <c r="L3" s="238"/>
      <c r="M3" s="238"/>
      <c r="N3" s="238"/>
      <c r="O3" s="238"/>
      <c r="P3" s="238"/>
      <c r="Q3" s="238"/>
      <c r="R3" s="238"/>
      <c r="S3" s="238"/>
    </row>
    <row r="5" spans="1:19" ht="17.399999999999999" x14ac:dyDescent="0.3">
      <c r="B5" s="237" t="s">
        <v>424</v>
      </c>
      <c r="C5" s="237"/>
      <c r="D5" s="237"/>
      <c r="E5" s="237"/>
      <c r="F5" s="237"/>
      <c r="G5" s="237"/>
      <c r="H5" s="237"/>
      <c r="I5" s="237"/>
      <c r="J5" s="237"/>
      <c r="K5" s="237"/>
      <c r="L5" s="237"/>
      <c r="M5" s="237"/>
      <c r="N5" s="237"/>
      <c r="O5" s="237"/>
      <c r="P5" s="237"/>
      <c r="Q5" s="237"/>
      <c r="R5" s="237"/>
    </row>
    <row r="7" spans="1:19" ht="18" x14ac:dyDescent="0.3">
      <c r="B7" s="16" t="s">
        <v>426</v>
      </c>
      <c r="C7" s="288"/>
      <c r="D7" s="289"/>
      <c r="F7" s="16" t="s">
        <v>427</v>
      </c>
      <c r="G7" s="288"/>
      <c r="H7" s="289"/>
      <c r="J7" s="16" t="s">
        <v>428</v>
      </c>
      <c r="K7" s="194"/>
      <c r="L7" s="196"/>
      <c r="N7" s="279" t="s">
        <v>429</v>
      </c>
      <c r="O7" s="197"/>
      <c r="P7" s="288"/>
      <c r="Q7" s="289"/>
    </row>
    <row r="9" spans="1:19" ht="17.399999999999999" x14ac:dyDescent="0.3">
      <c r="B9" s="16" t="s">
        <v>432</v>
      </c>
      <c r="C9" s="288"/>
      <c r="D9" s="289"/>
      <c r="F9" s="16" t="s">
        <v>433</v>
      </c>
      <c r="G9" s="288"/>
      <c r="H9" s="289"/>
      <c r="J9" s="273" t="s">
        <v>431</v>
      </c>
      <c r="K9" s="288"/>
      <c r="L9" s="289"/>
      <c r="N9" s="279" t="s">
        <v>430</v>
      </c>
      <c r="O9" s="197"/>
      <c r="P9" s="288"/>
      <c r="Q9" s="289"/>
    </row>
    <row r="10" spans="1:19" x14ac:dyDescent="0.3">
      <c r="J10" s="273"/>
    </row>
    <row r="12" spans="1:19" ht="17.399999999999999" x14ac:dyDescent="0.3">
      <c r="B12" s="16" t="s">
        <v>434</v>
      </c>
      <c r="C12" s="288"/>
      <c r="D12" s="289"/>
      <c r="F12" s="16" t="s">
        <v>272</v>
      </c>
      <c r="G12" s="288"/>
      <c r="H12" s="289"/>
      <c r="J12" s="16" t="s">
        <v>435</v>
      </c>
      <c r="K12" s="288"/>
      <c r="L12" s="289"/>
      <c r="N12" s="279" t="s">
        <v>436</v>
      </c>
      <c r="O12" s="197"/>
      <c r="P12" s="288"/>
      <c r="Q12" s="289"/>
    </row>
    <row r="14" spans="1:19" ht="17.399999999999999" x14ac:dyDescent="0.3">
      <c r="B14" s="273" t="s">
        <v>441</v>
      </c>
      <c r="C14" s="288"/>
      <c r="D14" s="289"/>
      <c r="F14" s="18" t="s">
        <v>442</v>
      </c>
      <c r="G14" s="288"/>
      <c r="H14" s="289"/>
      <c r="J14" s="16" t="s">
        <v>279</v>
      </c>
      <c r="K14" s="288"/>
      <c r="L14" s="289"/>
    </row>
    <row r="15" spans="1:19" ht="14.4" customHeight="1" x14ac:dyDescent="0.3">
      <c r="B15" s="273"/>
      <c r="F15" s="18"/>
    </row>
    <row r="17" spans="2:17" ht="14.4" customHeight="1" x14ac:dyDescent="0.3">
      <c r="B17" s="16" t="s">
        <v>443</v>
      </c>
      <c r="C17" s="363"/>
      <c r="D17" s="364"/>
      <c r="F17" s="16" t="s">
        <v>444</v>
      </c>
      <c r="G17" s="194"/>
      <c r="H17" s="196"/>
      <c r="J17" s="16" t="s">
        <v>282</v>
      </c>
      <c r="K17" s="288"/>
      <c r="L17" s="289"/>
      <c r="N17" s="359" t="s">
        <v>445</v>
      </c>
      <c r="O17" s="360"/>
      <c r="P17" s="194"/>
      <c r="Q17" s="196"/>
    </row>
    <row r="18" spans="2:17" ht="14.4" customHeight="1" x14ac:dyDescent="0.3">
      <c r="J18" s="17"/>
    </row>
    <row r="19" spans="2:17" ht="18" x14ac:dyDescent="0.3">
      <c r="B19" s="16" t="s">
        <v>446</v>
      </c>
      <c r="C19" s="361"/>
      <c r="D19" s="362"/>
      <c r="F19" s="16" t="s">
        <v>447</v>
      </c>
      <c r="G19" s="361"/>
      <c r="H19" s="362"/>
    </row>
    <row r="21" spans="2:17" ht="14.4" customHeight="1" x14ac:dyDescent="0.3">
      <c r="B21" s="295" t="s">
        <v>448</v>
      </c>
      <c r="C21" s="282"/>
      <c r="D21" s="282"/>
      <c r="E21" s="282"/>
      <c r="F21" s="282"/>
      <c r="G21" s="282"/>
      <c r="H21" s="282"/>
      <c r="I21" s="282"/>
      <c r="J21" s="282"/>
      <c r="K21" s="282"/>
      <c r="L21" s="282"/>
      <c r="M21" s="282"/>
      <c r="N21" s="282"/>
      <c r="O21" s="282"/>
      <c r="P21" s="282"/>
      <c r="Q21" s="282"/>
    </row>
    <row r="22" spans="2:17" ht="14.4" customHeight="1" x14ac:dyDescent="0.3">
      <c r="B22" s="295"/>
      <c r="C22" s="282"/>
      <c r="D22" s="282"/>
      <c r="E22" s="282"/>
      <c r="F22" s="282"/>
      <c r="G22" s="282"/>
      <c r="H22" s="282"/>
      <c r="I22" s="282"/>
      <c r="J22" s="282"/>
      <c r="K22" s="282"/>
      <c r="L22" s="282"/>
      <c r="M22" s="282"/>
      <c r="N22" s="282"/>
      <c r="O22" s="282"/>
      <c r="P22" s="282"/>
      <c r="Q22" s="282"/>
    </row>
    <row r="23" spans="2:17" ht="14.4" customHeight="1" x14ac:dyDescent="0.3">
      <c r="B23" s="295"/>
      <c r="C23" s="282"/>
      <c r="D23" s="282"/>
      <c r="E23" s="282"/>
      <c r="F23" s="282"/>
      <c r="G23" s="282"/>
      <c r="H23" s="282"/>
      <c r="I23" s="282"/>
      <c r="J23" s="282"/>
      <c r="K23" s="282"/>
      <c r="L23" s="282"/>
      <c r="M23" s="282"/>
      <c r="N23" s="282"/>
      <c r="O23" s="282"/>
      <c r="P23" s="282"/>
      <c r="Q23" s="282"/>
    </row>
    <row r="24" spans="2:17" ht="14.4" customHeight="1" x14ac:dyDescent="0.3">
      <c r="B24" s="17"/>
      <c r="C24" s="282"/>
      <c r="D24" s="282"/>
      <c r="E24" s="282"/>
      <c r="F24" s="282"/>
      <c r="G24" s="282"/>
      <c r="H24" s="282"/>
      <c r="I24" s="282"/>
      <c r="J24" s="282"/>
      <c r="K24" s="282"/>
      <c r="L24" s="282"/>
      <c r="M24" s="282"/>
      <c r="N24" s="282"/>
      <c r="O24" s="282"/>
      <c r="P24" s="282"/>
      <c r="Q24" s="282"/>
    </row>
    <row r="25" spans="2:17" ht="14.4" customHeight="1" x14ac:dyDescent="0.3">
      <c r="C25" s="282"/>
      <c r="D25" s="282"/>
      <c r="E25" s="282"/>
      <c r="F25" s="282"/>
      <c r="G25" s="282"/>
      <c r="H25" s="282"/>
      <c r="I25" s="282"/>
      <c r="J25" s="282"/>
      <c r="K25" s="282"/>
      <c r="L25" s="282"/>
      <c r="M25" s="282"/>
      <c r="N25" s="282"/>
      <c r="O25" s="282"/>
      <c r="P25" s="282"/>
      <c r="Q25" s="282"/>
    </row>
    <row r="26" spans="2:17" ht="14.4" customHeight="1" x14ac:dyDescent="0.3">
      <c r="C26" s="282"/>
      <c r="D26" s="282"/>
      <c r="E26" s="282"/>
      <c r="F26" s="282"/>
      <c r="G26" s="282"/>
      <c r="H26" s="282"/>
      <c r="I26" s="282"/>
      <c r="J26" s="282"/>
      <c r="K26" s="282"/>
      <c r="L26" s="282"/>
      <c r="M26" s="282"/>
      <c r="N26" s="282"/>
      <c r="O26" s="282"/>
      <c r="P26" s="282"/>
      <c r="Q26" s="282"/>
    </row>
    <row r="27" spans="2:17" ht="14.4" customHeight="1" x14ac:dyDescent="0.3">
      <c r="C27" s="282"/>
      <c r="D27" s="282"/>
      <c r="E27" s="282"/>
      <c r="F27" s="282"/>
      <c r="G27" s="282"/>
      <c r="H27" s="282"/>
      <c r="I27" s="282"/>
      <c r="J27" s="282"/>
      <c r="K27" s="282"/>
      <c r="L27" s="282"/>
      <c r="M27" s="282"/>
      <c r="N27" s="282"/>
      <c r="O27" s="282"/>
      <c r="P27" s="282"/>
      <c r="Q27" s="282"/>
    </row>
    <row r="28" spans="2:17" ht="14.4" customHeight="1" x14ac:dyDescent="0.3"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</row>
    <row r="29" spans="2:17" x14ac:dyDescent="0.3">
      <c r="C29" s="282"/>
      <c r="D29" s="282"/>
      <c r="E29" s="282"/>
      <c r="F29" s="282"/>
      <c r="G29" s="282"/>
      <c r="H29" s="282"/>
      <c r="I29" s="282"/>
      <c r="J29" s="282"/>
      <c r="K29" s="282"/>
      <c r="L29" s="282"/>
      <c r="M29" s="282"/>
      <c r="N29" s="282"/>
      <c r="O29" s="282"/>
      <c r="P29" s="282"/>
      <c r="Q29" s="282"/>
    </row>
    <row r="30" spans="2:17" x14ac:dyDescent="0.3">
      <c r="C30" s="282"/>
      <c r="D30" s="282"/>
      <c r="E30" s="282"/>
      <c r="F30" s="282"/>
      <c r="G30" s="282"/>
      <c r="H30" s="282"/>
      <c r="I30" s="282"/>
      <c r="J30" s="282"/>
      <c r="K30" s="282"/>
      <c r="L30" s="282"/>
      <c r="M30" s="282"/>
      <c r="N30" s="282"/>
      <c r="O30" s="282"/>
      <c r="P30" s="282"/>
      <c r="Q30" s="282"/>
    </row>
    <row r="31" spans="2:17" x14ac:dyDescent="0.3">
      <c r="C31" s="282"/>
      <c r="D31" s="282"/>
      <c r="E31" s="282"/>
      <c r="F31" s="282"/>
      <c r="G31" s="282"/>
      <c r="H31" s="282"/>
      <c r="I31" s="282"/>
      <c r="J31" s="282"/>
      <c r="K31" s="282"/>
      <c r="L31" s="282"/>
      <c r="M31" s="282"/>
      <c r="N31" s="282"/>
      <c r="O31" s="282"/>
      <c r="P31" s="282"/>
      <c r="Q31" s="282"/>
    </row>
    <row r="32" spans="2:17" x14ac:dyDescent="0.3">
      <c r="C32" s="282"/>
      <c r="D32" s="282"/>
      <c r="E32" s="282"/>
      <c r="F32" s="282"/>
      <c r="G32" s="282"/>
      <c r="H32" s="282"/>
      <c r="I32" s="282"/>
      <c r="J32" s="282"/>
      <c r="K32" s="282"/>
      <c r="L32" s="282"/>
      <c r="M32" s="282"/>
      <c r="N32" s="282"/>
      <c r="O32" s="282"/>
      <c r="P32" s="282"/>
      <c r="Q32" s="282"/>
    </row>
  </sheetData>
  <mergeCells count="33">
    <mergeCell ref="A2:S2"/>
    <mergeCell ref="A3:S3"/>
    <mergeCell ref="A1:S1"/>
    <mergeCell ref="C21:Q32"/>
    <mergeCell ref="C19:D19"/>
    <mergeCell ref="G19:H19"/>
    <mergeCell ref="B21:B23"/>
    <mergeCell ref="P12:Q12"/>
    <mergeCell ref="G14:H14"/>
    <mergeCell ref="K14:L14"/>
    <mergeCell ref="N12:O12"/>
    <mergeCell ref="B14:B15"/>
    <mergeCell ref="C14:D14"/>
    <mergeCell ref="C17:D17"/>
    <mergeCell ref="G17:H17"/>
    <mergeCell ref="P17:Q17"/>
    <mergeCell ref="K17:L17"/>
    <mergeCell ref="N17:O17"/>
    <mergeCell ref="C12:D12"/>
    <mergeCell ref="G12:H12"/>
    <mergeCell ref="K12:L12"/>
    <mergeCell ref="J9:J10"/>
    <mergeCell ref="K9:L9"/>
    <mergeCell ref="N9:O9"/>
    <mergeCell ref="P9:Q9"/>
    <mergeCell ref="C9:D9"/>
    <mergeCell ref="G9:H9"/>
    <mergeCell ref="B5:R5"/>
    <mergeCell ref="C7:D7"/>
    <mergeCell ref="G7:H7"/>
    <mergeCell ref="K7:L7"/>
    <mergeCell ref="N7:O7"/>
    <mergeCell ref="P7:Q7"/>
  </mergeCells>
  <dataValidations count="4">
    <dataValidation type="list" allowBlank="1" showInputMessage="1" showErrorMessage="1" sqref="C7:D7 G7:H7 C9:D9 G9:H9 G12:H12 C12:D12 K14:L14 K12:L12 P12:Q12 K9 P7:Q7 P9 G14:H14 C14 C17 P17:Q17" xr:uid="{E3566BFA-32FC-4505-BBB4-A94B997732EE}">
      <formula1>Numeros</formula1>
    </dataValidation>
    <dataValidation type="list" allowBlank="1" showInputMessage="1" showErrorMessage="1" sqref="K17:L17 G17:H17" xr:uid="{91955CE3-A661-4B03-9011-CA9D33441BE0}">
      <formula1>Condicional</formula1>
    </dataValidation>
    <dataValidation type="list" allowBlank="1" showInputMessage="1" showErrorMessage="1" sqref="C19:D19 G19:H19" xr:uid="{85038EE8-E5A8-4EB5-8C2A-49B85B35C19E}">
      <formula1>Transporte</formula1>
    </dataValidation>
    <dataValidation type="list" allowBlank="1" showInputMessage="1" showErrorMessage="1" sqref="K7:L7" xr:uid="{E6D83F73-7BAE-4E8F-8302-AFD1E3414C7F}">
      <formula1>Cocina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scale="6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C2C7D-E376-4F31-8CF2-F2828279DE47}">
  <sheetPr codeName="Hoja17">
    <tabColor theme="0"/>
  </sheetPr>
  <dimension ref="A1:S5"/>
  <sheetViews>
    <sheetView showGridLines="0" view="pageBreakPreview" zoomScale="60" zoomScaleNormal="100" workbookViewId="0">
      <selection activeCell="B5" sqref="B5:R5"/>
    </sheetView>
  </sheetViews>
  <sheetFormatPr baseColWidth="10" defaultRowHeight="14.4" x14ac:dyDescent="0.3"/>
  <cols>
    <col min="1" max="1" width="3.5546875" customWidth="1"/>
    <col min="2" max="2" width="6.6640625" customWidth="1"/>
  </cols>
  <sheetData>
    <row r="1" spans="1:19" ht="17.399999999999999" x14ac:dyDescent="0.3">
      <c r="A1" s="238"/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  <c r="S1" s="238"/>
    </row>
    <row r="2" spans="1:19" ht="17.399999999999999" x14ac:dyDescent="0.3">
      <c r="A2" s="238" t="s">
        <v>15</v>
      </c>
      <c r="B2" s="238"/>
      <c r="C2" s="238"/>
      <c r="D2" s="238"/>
      <c r="E2" s="238"/>
      <c r="F2" s="238"/>
      <c r="G2" s="238"/>
      <c r="H2" s="238"/>
      <c r="I2" s="238"/>
      <c r="J2" s="238"/>
      <c r="K2" s="238"/>
      <c r="L2" s="238"/>
      <c r="M2" s="238"/>
      <c r="N2" s="238"/>
      <c r="O2" s="238"/>
      <c r="P2" s="238"/>
      <c r="Q2" s="238"/>
      <c r="R2" s="238"/>
      <c r="S2" s="238"/>
    </row>
    <row r="3" spans="1:19" ht="17.399999999999999" x14ac:dyDescent="0.3">
      <c r="A3" s="238" t="s">
        <v>616</v>
      </c>
      <c r="B3" s="238"/>
      <c r="C3" s="238"/>
      <c r="D3" s="238"/>
      <c r="E3" s="238"/>
      <c r="F3" s="238"/>
      <c r="G3" s="238"/>
      <c r="H3" s="238"/>
      <c r="I3" s="238"/>
      <c r="J3" s="238"/>
      <c r="K3" s="238"/>
      <c r="L3" s="238"/>
      <c r="M3" s="238"/>
      <c r="N3" s="238"/>
      <c r="O3" s="238"/>
      <c r="P3" s="238"/>
      <c r="Q3" s="238"/>
      <c r="R3" s="238"/>
      <c r="S3" s="238"/>
    </row>
    <row r="5" spans="1:19" ht="17.399999999999999" x14ac:dyDescent="0.3">
      <c r="B5" s="365" t="s">
        <v>678</v>
      </c>
      <c r="C5" s="365"/>
      <c r="D5" s="365"/>
      <c r="E5" s="365"/>
      <c r="F5" s="365"/>
      <c r="G5" s="365"/>
      <c r="H5" s="365"/>
      <c r="I5" s="365"/>
      <c r="J5" s="365"/>
      <c r="K5" s="365"/>
      <c r="L5" s="365"/>
      <c r="M5" s="365"/>
      <c r="N5" s="365"/>
      <c r="O5" s="365"/>
      <c r="P5" s="365"/>
      <c r="Q5" s="365"/>
      <c r="R5" s="365"/>
    </row>
  </sheetData>
  <mergeCells count="4">
    <mergeCell ref="A1:S1"/>
    <mergeCell ref="A2:S2"/>
    <mergeCell ref="A3:S3"/>
    <mergeCell ref="B5:R5"/>
  </mergeCells>
  <pageMargins left="0.7" right="0.7" top="0.75" bottom="0.75" header="0.3" footer="0.3"/>
  <pageSetup paperSize="9" scale="6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8DC9F-5B67-4747-994F-55212947CCE5}">
  <sheetPr codeName="Hoja18">
    <tabColor theme="0"/>
  </sheetPr>
  <dimension ref="A1:S20"/>
  <sheetViews>
    <sheetView showGridLines="0" zoomScaleNormal="100" workbookViewId="0">
      <selection activeCell="H20" sqref="H20:L20"/>
    </sheetView>
  </sheetViews>
  <sheetFormatPr baseColWidth="10" defaultRowHeight="14.4" x14ac:dyDescent="0.3"/>
  <cols>
    <col min="1" max="1" width="4" customWidth="1"/>
    <col min="2" max="2" width="6.33203125" customWidth="1"/>
    <col min="7" max="7" width="21.33203125" bestFit="1" customWidth="1"/>
    <col min="8" max="8" width="10.33203125" bestFit="1" customWidth="1"/>
    <col min="9" max="9" width="17.33203125" customWidth="1"/>
    <col min="10" max="10" width="12.88671875" bestFit="1" customWidth="1"/>
    <col min="11" max="11" width="19.44140625" customWidth="1"/>
    <col min="12" max="12" width="19.5546875" customWidth="1"/>
    <col min="13" max="13" width="12.5546875" customWidth="1"/>
    <col min="17" max="17" width="2" customWidth="1"/>
  </cols>
  <sheetData>
    <row r="1" spans="1:19" ht="17.399999999999999" x14ac:dyDescent="0.3">
      <c r="A1" s="239"/>
      <c r="B1" s="239"/>
      <c r="C1" s="239"/>
      <c r="D1" s="239"/>
      <c r="E1" s="239"/>
      <c r="F1" s="239"/>
      <c r="G1" s="239"/>
      <c r="H1" s="239"/>
      <c r="I1" s="239"/>
      <c r="J1" s="239"/>
      <c r="K1" s="239"/>
      <c r="L1" s="239"/>
      <c r="M1" s="239"/>
      <c r="N1" s="239"/>
      <c r="O1" s="239"/>
      <c r="P1" s="239"/>
      <c r="Q1" s="239"/>
      <c r="R1" s="12"/>
      <c r="S1" s="12"/>
    </row>
    <row r="2" spans="1:19" ht="17.399999999999999" x14ac:dyDescent="0.3">
      <c r="A2" s="238" t="s">
        <v>15</v>
      </c>
      <c r="B2" s="238"/>
      <c r="C2" s="238"/>
      <c r="D2" s="238"/>
      <c r="E2" s="238"/>
      <c r="F2" s="238"/>
      <c r="G2" s="238"/>
      <c r="H2" s="238"/>
      <c r="I2" s="238"/>
      <c r="J2" s="238"/>
      <c r="K2" s="238"/>
      <c r="L2" s="238"/>
      <c r="M2" s="238"/>
      <c r="N2" s="238"/>
      <c r="O2" s="238"/>
      <c r="P2" s="238"/>
      <c r="Q2" s="238"/>
      <c r="R2" s="12"/>
      <c r="S2" s="12"/>
    </row>
    <row r="3" spans="1:19" ht="17.399999999999999" x14ac:dyDescent="0.3">
      <c r="A3" s="238" t="s">
        <v>616</v>
      </c>
      <c r="B3" s="238"/>
      <c r="C3" s="238"/>
      <c r="D3" s="238"/>
      <c r="E3" s="238"/>
      <c r="F3" s="238"/>
      <c r="G3" s="238"/>
      <c r="H3" s="238"/>
      <c r="I3" s="238"/>
      <c r="J3" s="238"/>
      <c r="K3" s="238"/>
      <c r="L3" s="238"/>
      <c r="M3" s="238"/>
      <c r="N3" s="238"/>
      <c r="O3" s="238"/>
      <c r="P3" s="238"/>
      <c r="Q3" s="238"/>
      <c r="R3" s="12"/>
      <c r="S3" s="12"/>
    </row>
    <row r="5" spans="1:19" ht="17.399999999999999" x14ac:dyDescent="0.3">
      <c r="B5" s="237" t="s">
        <v>678</v>
      </c>
      <c r="C5" s="237"/>
      <c r="D5" s="237"/>
      <c r="E5" s="237"/>
      <c r="F5" s="237"/>
      <c r="G5" s="237"/>
      <c r="H5" s="237"/>
      <c r="I5" s="237"/>
      <c r="J5" s="237"/>
      <c r="K5" s="237"/>
      <c r="L5" s="237"/>
      <c r="M5" s="237"/>
      <c r="N5" s="237"/>
      <c r="O5" s="237"/>
      <c r="P5" s="237"/>
      <c r="Q5" s="25"/>
      <c r="R5" s="25"/>
    </row>
    <row r="7" spans="1:19" ht="18" x14ac:dyDescent="0.3">
      <c r="C7" s="279" t="s">
        <v>740</v>
      </c>
      <c r="D7" s="197"/>
      <c r="E7" s="194"/>
      <c r="F7" s="196"/>
      <c r="H7" s="279" t="s">
        <v>563</v>
      </c>
      <c r="I7" s="197"/>
      <c r="J7" s="199"/>
      <c r="K7" s="201"/>
      <c r="M7" s="279" t="s">
        <v>741</v>
      </c>
      <c r="N7" s="197"/>
      <c r="O7" s="366"/>
      <c r="P7" s="367"/>
    </row>
    <row r="9" spans="1:19" ht="17.399999999999999" x14ac:dyDescent="0.3">
      <c r="C9" s="279" t="s">
        <v>564</v>
      </c>
      <c r="D9" s="197"/>
      <c r="E9" s="366"/>
      <c r="F9" s="367"/>
      <c r="H9" s="279" t="s">
        <v>743</v>
      </c>
      <c r="I9" s="197"/>
      <c r="J9" s="240"/>
      <c r="K9" s="242"/>
    </row>
    <row r="16" spans="1:19" ht="17.399999999999999" x14ac:dyDescent="0.3">
      <c r="G16" s="22" t="s">
        <v>745</v>
      </c>
      <c r="H16" s="22" t="s">
        <v>742</v>
      </c>
      <c r="I16" s="22" t="s">
        <v>741</v>
      </c>
      <c r="J16" s="22" t="s">
        <v>564</v>
      </c>
      <c r="K16" s="187" t="s">
        <v>743</v>
      </c>
      <c r="L16" s="22" t="s">
        <v>744</v>
      </c>
    </row>
    <row r="17" spans="7:12" ht="18" x14ac:dyDescent="0.3">
      <c r="G17" s="182"/>
      <c r="H17" s="183"/>
      <c r="I17" s="184"/>
      <c r="J17" s="393"/>
      <c r="K17" s="392"/>
      <c r="L17" s="391"/>
    </row>
    <row r="18" spans="7:12" ht="18" x14ac:dyDescent="0.3">
      <c r="G18" s="182" t="s">
        <v>747</v>
      </c>
      <c r="H18" s="183">
        <v>10</v>
      </c>
      <c r="I18" s="184" t="s">
        <v>752</v>
      </c>
      <c r="J18" s="184" t="s">
        <v>749</v>
      </c>
      <c r="K18" s="392">
        <v>1202500</v>
      </c>
      <c r="L18" s="391">
        <v>12025000</v>
      </c>
    </row>
    <row r="19" spans="7:12" ht="17.399999999999999" x14ac:dyDescent="0.3">
      <c r="G19" s="185" t="s">
        <v>744</v>
      </c>
      <c r="K19" s="186"/>
      <c r="L19" s="394">
        <f>SUM(ValorTotal)</f>
        <v>12025000</v>
      </c>
    </row>
    <row r="20" spans="7:12" ht="17.399999999999999" x14ac:dyDescent="0.3">
      <c r="G20" s="185" t="s">
        <v>753</v>
      </c>
      <c r="H20" s="386" t="str" cm="1">
        <f t="array" ref="H20">ALETRAS(TOTAL,TRUE)</f>
        <v>DOCE MILLONES VEINTICINCO MIL PESOS CON CERO CENTAVOS</v>
      </c>
      <c r="I20" s="387"/>
      <c r="J20" s="387"/>
      <c r="K20" s="387"/>
      <c r="L20" s="388"/>
    </row>
  </sheetData>
  <mergeCells count="15">
    <mergeCell ref="A1:Q1"/>
    <mergeCell ref="H20:L20"/>
    <mergeCell ref="J9:K9"/>
    <mergeCell ref="M7:N7"/>
    <mergeCell ref="O7:P7"/>
    <mergeCell ref="A2:Q2"/>
    <mergeCell ref="A3:Q3"/>
    <mergeCell ref="B5:P5"/>
    <mergeCell ref="H7:I7"/>
    <mergeCell ref="C9:D9"/>
    <mergeCell ref="E9:F9"/>
    <mergeCell ref="H9:I9"/>
    <mergeCell ref="E7:F7"/>
    <mergeCell ref="C7:D7"/>
    <mergeCell ref="J7:K7"/>
  </mergeCells>
  <dataValidations count="2">
    <dataValidation type="list" allowBlank="1" showInputMessage="1" showErrorMessage="1" sqref="E7:F7 H16:H17 G17:G18" xr:uid="{F221BF4E-20E4-423A-A024-90698FF02AF3}">
      <formula1>TipoAreaLiq</formula1>
    </dataValidation>
    <dataValidation type="list" allowBlank="1" showInputMessage="1" showErrorMessage="1" sqref="E9:F9 J17:J18" xr:uid="{BB399B9F-B4AF-4904-AD27-8A3E5C637EB4}">
      <formula1>UnidadesLiq</formula1>
    </dataValidation>
  </dataValidations>
  <pageMargins left="0.7" right="0.7" top="0.75" bottom="0.75" header="0.3" footer="0.3"/>
  <pageSetup paperSize="9" scale="62" orientation="landscape" r:id="rId1"/>
  <colBreaks count="1" manualBreakCount="1">
    <brk id="17" max="1048575" man="1"/>
  </colBreaks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AA7BE-2F5C-41C3-9477-3582F4DA5909}">
  <sheetPr codeName="Hoja10">
    <tabColor theme="0"/>
    <pageSetUpPr fitToPage="1"/>
  </sheetPr>
  <dimension ref="A1:S37"/>
  <sheetViews>
    <sheetView showGridLines="0" zoomScaleNormal="100" workbookViewId="0">
      <pane ySplit="3" topLeftCell="A4" activePane="bottomLeft" state="frozen"/>
      <selection activeCell="D37" sqref="D37:O45"/>
      <selection pane="bottomLeft" activeCell="C9" sqref="C9:F9"/>
    </sheetView>
  </sheetViews>
  <sheetFormatPr baseColWidth="10" defaultRowHeight="14.4" x14ac:dyDescent="0.3"/>
  <cols>
    <col min="1" max="1" width="3.109375" customWidth="1"/>
    <col min="3" max="3" width="12.109375" bestFit="1" customWidth="1"/>
    <col min="4" max="4" width="11.5546875" customWidth="1"/>
    <col min="19" max="19" width="6.6640625" customWidth="1"/>
  </cols>
  <sheetData>
    <row r="1" spans="1:19" ht="14.4" customHeight="1" x14ac:dyDescent="0.3">
      <c r="A1" s="238"/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  <c r="S1" s="238"/>
    </row>
    <row r="2" spans="1:19" ht="14.4" customHeight="1" x14ac:dyDescent="0.3">
      <c r="A2" s="238" t="s">
        <v>15</v>
      </c>
      <c r="B2" s="238"/>
      <c r="C2" s="238"/>
      <c r="D2" s="238"/>
      <c r="E2" s="238"/>
      <c r="F2" s="238"/>
      <c r="G2" s="238"/>
      <c r="H2" s="238"/>
      <c r="I2" s="238"/>
      <c r="J2" s="238"/>
      <c r="K2" s="238"/>
      <c r="L2" s="238"/>
      <c r="M2" s="238"/>
      <c r="N2" s="238"/>
      <c r="O2" s="238"/>
      <c r="P2" s="238"/>
      <c r="Q2" s="238"/>
      <c r="R2" s="238"/>
      <c r="S2" s="238"/>
    </row>
    <row r="3" spans="1:19" ht="14.4" customHeight="1" x14ac:dyDescent="0.3">
      <c r="A3" s="238" t="s">
        <v>616</v>
      </c>
      <c r="B3" s="238"/>
      <c r="C3" s="238"/>
      <c r="D3" s="238"/>
      <c r="E3" s="238"/>
      <c r="F3" s="238"/>
      <c r="G3" s="238"/>
      <c r="H3" s="238"/>
      <c r="I3" s="238"/>
      <c r="J3" s="238"/>
      <c r="K3" s="238"/>
      <c r="L3" s="238"/>
      <c r="M3" s="238"/>
      <c r="N3" s="238"/>
      <c r="O3" s="238"/>
      <c r="P3" s="238"/>
      <c r="Q3" s="238"/>
      <c r="R3" s="238"/>
      <c r="S3" s="238"/>
    </row>
    <row r="5" spans="1:19" ht="17.399999999999999" x14ac:dyDescent="0.3">
      <c r="B5" s="237" t="s">
        <v>405</v>
      </c>
      <c r="C5" s="237"/>
      <c r="D5" s="237"/>
      <c r="E5" s="237"/>
      <c r="F5" s="237"/>
      <c r="G5" s="237"/>
      <c r="H5" s="237"/>
      <c r="I5" s="237"/>
      <c r="J5" s="237"/>
      <c r="K5" s="237"/>
      <c r="L5" s="237"/>
      <c r="M5" s="237"/>
      <c r="N5" s="237"/>
      <c r="O5" s="237"/>
      <c r="P5" s="237"/>
      <c r="Q5" s="237"/>
      <c r="R5" s="237"/>
    </row>
    <row r="7" spans="1:19" ht="17.399999999999999" x14ac:dyDescent="0.3">
      <c r="C7" s="19" t="s">
        <v>535</v>
      </c>
      <c r="E7" s="19" t="s">
        <v>536</v>
      </c>
      <c r="H7" s="19" t="s">
        <v>537</v>
      </c>
    </row>
    <row r="9" spans="1:19" ht="18" x14ac:dyDescent="0.3">
      <c r="C9" s="16" t="s">
        <v>426</v>
      </c>
      <c r="D9" s="45"/>
      <c r="E9" s="194"/>
      <c r="F9" s="196"/>
      <c r="G9" s="45"/>
      <c r="H9" s="194"/>
      <c r="I9" s="196"/>
      <c r="J9" s="45"/>
      <c r="K9" s="45"/>
    </row>
    <row r="10" spans="1:19" x14ac:dyDescent="0.3">
      <c r="D10" s="45"/>
      <c r="E10" s="45"/>
      <c r="F10" s="45"/>
      <c r="G10" s="45"/>
      <c r="H10" s="45"/>
      <c r="I10" s="45"/>
      <c r="J10" s="45"/>
      <c r="K10" s="45"/>
    </row>
    <row r="11" spans="1:19" ht="18" x14ac:dyDescent="0.3">
      <c r="C11" s="16" t="s">
        <v>427</v>
      </c>
      <c r="D11" s="45"/>
      <c r="E11" s="194"/>
      <c r="F11" s="196"/>
      <c r="G11" s="45"/>
      <c r="H11" s="194"/>
      <c r="I11" s="196"/>
      <c r="J11" s="45"/>
      <c r="K11" s="45"/>
    </row>
    <row r="12" spans="1:19" x14ac:dyDescent="0.3">
      <c r="D12" s="45"/>
      <c r="E12" s="45"/>
      <c r="F12" s="45"/>
      <c r="G12" s="45"/>
      <c r="H12" s="45"/>
      <c r="I12" s="45"/>
      <c r="J12" s="45"/>
      <c r="K12" s="45"/>
    </row>
    <row r="13" spans="1:19" ht="18" x14ac:dyDescent="0.3">
      <c r="C13" s="16" t="s">
        <v>428</v>
      </c>
      <c r="D13" s="45"/>
      <c r="E13" s="194"/>
      <c r="F13" s="196"/>
      <c r="G13" s="45"/>
      <c r="H13" s="194"/>
      <c r="I13" s="196"/>
      <c r="J13" s="45"/>
      <c r="K13" s="45"/>
    </row>
    <row r="14" spans="1:19" x14ac:dyDescent="0.3">
      <c r="D14" s="45"/>
      <c r="E14" s="45"/>
      <c r="F14" s="45"/>
      <c r="G14" s="45"/>
      <c r="H14" s="45"/>
      <c r="I14" s="45"/>
      <c r="J14" s="45"/>
      <c r="K14" s="45"/>
    </row>
    <row r="15" spans="1:19" ht="18" x14ac:dyDescent="0.3">
      <c r="C15" s="16" t="s">
        <v>530</v>
      </c>
      <c r="D15" s="45"/>
      <c r="E15" s="194"/>
      <c r="F15" s="196"/>
      <c r="G15" s="45"/>
      <c r="H15" s="194"/>
      <c r="I15" s="196"/>
      <c r="J15" s="45"/>
      <c r="K15" s="45"/>
    </row>
    <row r="16" spans="1:19" x14ac:dyDescent="0.3">
      <c r="D16" s="45"/>
      <c r="E16" s="45"/>
      <c r="F16" s="45"/>
      <c r="G16" s="45"/>
      <c r="H16" s="45"/>
      <c r="I16" s="45"/>
      <c r="J16" s="45"/>
      <c r="K16" s="45"/>
    </row>
    <row r="17" spans="3:19" ht="18" x14ac:dyDescent="0.3">
      <c r="C17" s="16" t="s">
        <v>531</v>
      </c>
      <c r="D17" s="45"/>
      <c r="E17" s="194"/>
      <c r="F17" s="196"/>
      <c r="G17" s="45"/>
      <c r="H17" s="194"/>
      <c r="I17" s="196"/>
      <c r="J17" s="45"/>
      <c r="K17" s="45"/>
    </row>
    <row r="18" spans="3:19" x14ac:dyDescent="0.3">
      <c r="D18" s="45"/>
      <c r="E18" s="45"/>
      <c r="F18" s="45"/>
      <c r="G18" s="45"/>
      <c r="H18" s="45"/>
      <c r="I18" s="45"/>
      <c r="J18" s="45"/>
      <c r="K18" s="45"/>
    </row>
    <row r="19" spans="3:19" ht="18" x14ac:dyDescent="0.3">
      <c r="C19" s="16" t="s">
        <v>532</v>
      </c>
      <c r="D19" s="45"/>
      <c r="E19" s="194"/>
      <c r="F19" s="196"/>
      <c r="G19" s="45"/>
      <c r="H19" s="194"/>
      <c r="I19" s="196"/>
      <c r="J19" s="45"/>
      <c r="K19" s="45"/>
    </row>
    <row r="20" spans="3:19" x14ac:dyDescent="0.3">
      <c r="D20" s="45"/>
      <c r="E20" s="45"/>
      <c r="F20" s="45"/>
      <c r="G20" s="45"/>
      <c r="H20" s="45"/>
      <c r="I20" s="45"/>
      <c r="J20" s="45"/>
      <c r="K20" s="45"/>
    </row>
    <row r="21" spans="3:19" ht="18" x14ac:dyDescent="0.3">
      <c r="C21" s="16" t="s">
        <v>533</v>
      </c>
      <c r="D21" s="45"/>
      <c r="E21" s="194"/>
      <c r="F21" s="196"/>
      <c r="G21" s="45"/>
      <c r="H21" s="194"/>
      <c r="I21" s="196"/>
      <c r="J21" s="45"/>
      <c r="K21" s="45"/>
    </row>
    <row r="22" spans="3:19" x14ac:dyDescent="0.3">
      <c r="D22" s="45"/>
      <c r="E22" s="45"/>
      <c r="F22" s="45"/>
      <c r="G22" s="45"/>
      <c r="H22" s="45"/>
      <c r="I22" s="45"/>
      <c r="J22" s="45"/>
      <c r="K22" s="45"/>
    </row>
    <row r="23" spans="3:19" ht="18" x14ac:dyDescent="0.3">
      <c r="C23" s="16" t="s">
        <v>534</v>
      </c>
      <c r="D23" s="45"/>
      <c r="E23" s="194"/>
      <c r="F23" s="196"/>
      <c r="G23" s="45"/>
      <c r="H23" s="194"/>
      <c r="I23" s="196"/>
      <c r="J23" s="45"/>
      <c r="K23" s="45"/>
    </row>
    <row r="25" spans="3:19" ht="17.399999999999999" customHeight="1" x14ac:dyDescent="0.3">
      <c r="C25" s="273" t="s">
        <v>538</v>
      </c>
      <c r="D25" s="273"/>
      <c r="E25" s="282"/>
      <c r="F25" s="282"/>
      <c r="G25" s="282"/>
      <c r="H25" s="282"/>
      <c r="I25" s="282"/>
      <c r="J25" s="282"/>
      <c r="K25" s="282"/>
      <c r="L25" s="282"/>
      <c r="M25" s="282"/>
      <c r="N25" s="282"/>
      <c r="O25" s="282"/>
      <c r="P25" s="282"/>
      <c r="Q25" s="282"/>
      <c r="R25" s="282"/>
      <c r="S25" s="88"/>
    </row>
    <row r="26" spans="3:19" ht="14.4" customHeight="1" x14ac:dyDescent="0.3">
      <c r="C26" s="18"/>
      <c r="D26" s="18"/>
      <c r="E26" s="282"/>
      <c r="F26" s="282"/>
      <c r="G26" s="282"/>
      <c r="H26" s="282"/>
      <c r="I26" s="282"/>
      <c r="J26" s="282"/>
      <c r="K26" s="282"/>
      <c r="L26" s="282"/>
      <c r="M26" s="282"/>
      <c r="N26" s="282"/>
      <c r="O26" s="282"/>
      <c r="P26" s="282"/>
      <c r="Q26" s="282"/>
      <c r="R26" s="282"/>
      <c r="S26" s="88"/>
    </row>
    <row r="27" spans="3:19" ht="14.4" customHeight="1" x14ac:dyDescent="0.3">
      <c r="C27" s="18"/>
      <c r="D27" s="18"/>
      <c r="E27" s="282"/>
      <c r="F27" s="282"/>
      <c r="G27" s="282"/>
      <c r="H27" s="282"/>
      <c r="I27" s="282"/>
      <c r="J27" s="282"/>
      <c r="K27" s="282"/>
      <c r="L27" s="282"/>
      <c r="M27" s="282"/>
      <c r="N27" s="282"/>
      <c r="O27" s="282"/>
      <c r="P27" s="282"/>
      <c r="Q27" s="282"/>
      <c r="R27" s="282"/>
      <c r="S27" s="88"/>
    </row>
    <row r="28" spans="3:19" ht="14.4" customHeight="1" x14ac:dyDescent="0.3"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88"/>
    </row>
    <row r="29" spans="3:19" ht="14.4" customHeight="1" x14ac:dyDescent="0.3">
      <c r="E29" s="282"/>
      <c r="F29" s="282"/>
      <c r="G29" s="282"/>
      <c r="H29" s="282"/>
      <c r="I29" s="282"/>
      <c r="J29" s="282"/>
      <c r="K29" s="282"/>
      <c r="L29" s="282"/>
      <c r="M29" s="282"/>
      <c r="N29" s="282"/>
      <c r="O29" s="282"/>
      <c r="P29" s="282"/>
      <c r="Q29" s="282"/>
      <c r="R29" s="282"/>
      <c r="S29" s="88"/>
    </row>
    <row r="30" spans="3:19" ht="14.4" customHeight="1" x14ac:dyDescent="0.3">
      <c r="E30" s="282"/>
      <c r="F30" s="282"/>
      <c r="G30" s="282"/>
      <c r="H30" s="282"/>
      <c r="I30" s="282"/>
      <c r="J30" s="282"/>
      <c r="K30" s="282"/>
      <c r="L30" s="282"/>
      <c r="M30" s="282"/>
      <c r="N30" s="282"/>
      <c r="O30" s="282"/>
      <c r="P30" s="282"/>
      <c r="Q30" s="282"/>
      <c r="R30" s="282"/>
      <c r="S30" s="88"/>
    </row>
    <row r="31" spans="3:19" ht="14.4" customHeight="1" x14ac:dyDescent="0.3">
      <c r="E31" s="282"/>
      <c r="F31" s="282"/>
      <c r="G31" s="282"/>
      <c r="H31" s="282"/>
      <c r="I31" s="282"/>
      <c r="J31" s="282"/>
      <c r="K31" s="282"/>
      <c r="L31" s="282"/>
      <c r="M31" s="282"/>
      <c r="N31" s="282"/>
      <c r="O31" s="282"/>
      <c r="P31" s="282"/>
      <c r="Q31" s="282"/>
      <c r="R31" s="282"/>
      <c r="S31" s="88"/>
    </row>
    <row r="32" spans="3:19" ht="14.4" customHeight="1" x14ac:dyDescent="0.3">
      <c r="E32" s="282"/>
      <c r="F32" s="282"/>
      <c r="G32" s="282"/>
      <c r="H32" s="282"/>
      <c r="I32" s="282"/>
      <c r="J32" s="282"/>
      <c r="K32" s="282"/>
      <c r="L32" s="282"/>
      <c r="M32" s="282"/>
      <c r="N32" s="282"/>
      <c r="O32" s="282"/>
      <c r="P32" s="282"/>
      <c r="Q32" s="282"/>
      <c r="R32" s="282"/>
      <c r="S32" s="88"/>
    </row>
    <row r="33" spans="5:19" ht="14.4" customHeight="1" x14ac:dyDescent="0.3">
      <c r="E33" s="282"/>
      <c r="F33" s="282"/>
      <c r="G33" s="282"/>
      <c r="H33" s="282"/>
      <c r="I33" s="282"/>
      <c r="J33" s="282"/>
      <c r="K33" s="282"/>
      <c r="L33" s="282"/>
      <c r="M33" s="282"/>
      <c r="N33" s="282"/>
      <c r="O33" s="282"/>
      <c r="P33" s="282"/>
      <c r="Q33" s="282"/>
      <c r="R33" s="282"/>
      <c r="S33" s="88"/>
    </row>
    <row r="34" spans="5:19" ht="14.4" customHeight="1" x14ac:dyDescent="0.3">
      <c r="E34" s="282"/>
      <c r="F34" s="282"/>
      <c r="G34" s="282"/>
      <c r="H34" s="282"/>
      <c r="I34" s="282"/>
      <c r="J34" s="282"/>
      <c r="K34" s="282"/>
      <c r="L34" s="282"/>
      <c r="M34" s="282"/>
      <c r="N34" s="282"/>
      <c r="O34" s="282"/>
      <c r="P34" s="282"/>
      <c r="Q34" s="282"/>
      <c r="R34" s="282"/>
      <c r="S34" s="88"/>
    </row>
    <row r="35" spans="5:19" ht="14.4" customHeight="1" x14ac:dyDescent="0.3">
      <c r="E35" s="282"/>
      <c r="F35" s="282"/>
      <c r="G35" s="282"/>
      <c r="H35" s="282"/>
      <c r="I35" s="282"/>
      <c r="J35" s="282"/>
      <c r="K35" s="282"/>
      <c r="L35" s="282"/>
      <c r="M35" s="282"/>
      <c r="N35" s="282"/>
      <c r="O35" s="282"/>
      <c r="P35" s="282"/>
      <c r="Q35" s="282"/>
      <c r="R35" s="282"/>
      <c r="S35" s="88"/>
    </row>
    <row r="36" spans="5:19" ht="14.4" customHeight="1" x14ac:dyDescent="0.3">
      <c r="E36" s="282"/>
      <c r="F36" s="282"/>
      <c r="G36" s="282"/>
      <c r="H36" s="282"/>
      <c r="I36" s="282"/>
      <c r="J36" s="282"/>
      <c r="K36" s="282"/>
      <c r="L36" s="282"/>
      <c r="M36" s="282"/>
      <c r="N36" s="282"/>
      <c r="O36" s="282"/>
      <c r="P36" s="282"/>
      <c r="Q36" s="282"/>
      <c r="R36" s="282"/>
      <c r="S36" s="88"/>
    </row>
    <row r="37" spans="5:19" x14ac:dyDescent="0.3">
      <c r="E37" s="282"/>
      <c r="F37" s="282"/>
      <c r="G37" s="282"/>
      <c r="H37" s="282"/>
      <c r="I37" s="282"/>
      <c r="J37" s="282"/>
      <c r="K37" s="282"/>
      <c r="L37" s="282"/>
      <c r="M37" s="282"/>
      <c r="N37" s="282"/>
      <c r="O37" s="282"/>
      <c r="P37" s="282"/>
      <c r="Q37" s="282"/>
      <c r="R37" s="282"/>
    </row>
  </sheetData>
  <mergeCells count="22">
    <mergeCell ref="E25:R37"/>
    <mergeCell ref="B5:R5"/>
    <mergeCell ref="E9:F9"/>
    <mergeCell ref="H9:I9"/>
    <mergeCell ref="E11:F11"/>
    <mergeCell ref="C25:D25"/>
    <mergeCell ref="E15:F15"/>
    <mergeCell ref="E17:F17"/>
    <mergeCell ref="E19:F19"/>
    <mergeCell ref="E21:F21"/>
    <mergeCell ref="E23:F23"/>
    <mergeCell ref="H15:I15"/>
    <mergeCell ref="H17:I17"/>
    <mergeCell ref="H19:I19"/>
    <mergeCell ref="H21:I21"/>
    <mergeCell ref="H23:I23"/>
    <mergeCell ref="A1:S1"/>
    <mergeCell ref="A2:S2"/>
    <mergeCell ref="A3:S3"/>
    <mergeCell ref="E13:F13"/>
    <mergeCell ref="H11:I11"/>
    <mergeCell ref="H13:I13"/>
  </mergeCells>
  <dataValidations count="2">
    <dataValidation type="list" allowBlank="1" showInputMessage="1" showErrorMessage="1" sqref="E9:F9 E11:F11 E13:F13 E15:F15 E17:F17 E19:F19 E21:F21 E23:F23" xr:uid="{259B9B45-ABC7-4CC0-920F-0A4F3E080C30}">
      <formula1>Acabados</formula1>
    </dataValidation>
    <dataValidation type="list" allowBlank="1" showInputMessage="1" showErrorMessage="1" sqref="H9:I9 H11:I11 H13:I13 H15:I15 H17:I17 H19:I19 H21:I21 H23:I23" xr:uid="{C16202CB-F7CF-4C23-8B4A-4712E649E7DE}">
      <formula1>Estados2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scale="6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BAACD-8BDC-4D0A-B0F1-7D1323CBA900}">
  <sheetPr codeName="Hoja13">
    <tabColor theme="0"/>
    <pageSetUpPr fitToPage="1"/>
  </sheetPr>
  <dimension ref="A1:S55"/>
  <sheetViews>
    <sheetView showGridLines="0" zoomScaleNormal="100" zoomScaleSheetLayoutView="100" workbookViewId="0">
      <selection sqref="A1:S3"/>
    </sheetView>
  </sheetViews>
  <sheetFormatPr baseColWidth="10" defaultRowHeight="14.4" x14ac:dyDescent="0.3"/>
  <cols>
    <col min="1" max="1" width="2.88671875" customWidth="1"/>
    <col min="4" max="4" width="12.44140625" customWidth="1"/>
    <col min="6" max="6" width="11.5546875" customWidth="1"/>
    <col min="10" max="10" width="11.5546875" customWidth="1"/>
    <col min="19" max="19" width="6.44140625" customWidth="1"/>
  </cols>
  <sheetData>
    <row r="1" spans="1:19" ht="14.4" customHeight="1" x14ac:dyDescent="0.3">
      <c r="A1" s="238"/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  <c r="S1" s="238"/>
    </row>
    <row r="2" spans="1:19" ht="14.4" customHeight="1" x14ac:dyDescent="0.3">
      <c r="A2" s="238" t="s">
        <v>15</v>
      </c>
      <c r="B2" s="238"/>
      <c r="C2" s="238"/>
      <c r="D2" s="238"/>
      <c r="E2" s="238"/>
      <c r="F2" s="238"/>
      <c r="G2" s="238"/>
      <c r="H2" s="238"/>
      <c r="I2" s="238"/>
      <c r="J2" s="238"/>
      <c r="K2" s="238"/>
      <c r="L2" s="238"/>
      <c r="M2" s="238"/>
      <c r="N2" s="238"/>
      <c r="O2" s="238"/>
      <c r="P2" s="238"/>
      <c r="Q2" s="238"/>
      <c r="R2" s="238"/>
      <c r="S2" s="238"/>
    </row>
    <row r="3" spans="1:19" ht="14.4" customHeight="1" x14ac:dyDescent="0.3">
      <c r="A3" s="238" t="s">
        <v>616</v>
      </c>
      <c r="B3" s="238"/>
      <c r="C3" s="238"/>
      <c r="D3" s="238"/>
      <c r="E3" s="238"/>
      <c r="F3" s="238"/>
      <c r="G3" s="238"/>
      <c r="H3" s="238"/>
      <c r="I3" s="238"/>
      <c r="J3" s="238"/>
      <c r="K3" s="238"/>
      <c r="L3" s="238"/>
      <c r="M3" s="238"/>
      <c r="N3" s="238"/>
      <c r="O3" s="238"/>
      <c r="P3" s="238"/>
      <c r="Q3" s="238"/>
      <c r="R3" s="238"/>
      <c r="S3" s="238"/>
    </row>
    <row r="5" spans="1:19" ht="17.399999999999999" x14ac:dyDescent="0.3">
      <c r="B5" s="237" t="s">
        <v>539</v>
      </c>
      <c r="C5" s="237"/>
      <c r="D5" s="237"/>
      <c r="E5" s="237"/>
      <c r="F5" s="237"/>
      <c r="G5" s="237"/>
      <c r="H5" s="237"/>
      <c r="I5" s="237"/>
      <c r="J5" s="237"/>
      <c r="K5" s="237"/>
      <c r="L5" s="237"/>
      <c r="M5" s="237"/>
      <c r="N5" s="237"/>
      <c r="O5" s="237"/>
      <c r="P5" s="237"/>
      <c r="Q5" s="237"/>
      <c r="R5" s="237"/>
    </row>
    <row r="7" spans="1:19" ht="17.399999999999999" x14ac:dyDescent="0.3">
      <c r="C7" s="16" t="s">
        <v>540</v>
      </c>
      <c r="D7" s="20" t="s">
        <v>542</v>
      </c>
      <c r="E7" s="370"/>
      <c r="F7" s="371"/>
      <c r="G7" s="372"/>
      <c r="I7" s="20" t="s">
        <v>543</v>
      </c>
      <c r="J7" s="369" t="str">
        <f>CONCATENATE(INT(ABS(E7)),"°  ",INT((ABS(E7)-INT(ABS(E7)))*60),"' ",FIXED((((ABS(E7)-INT(ABS(E7)))*60)-INT((ABS(E7)-INT(ABS(E7)))*60))*60,4,FALSE),"''")</f>
        <v>0°  0' 0,0000''</v>
      </c>
      <c r="K7" s="369"/>
    </row>
    <row r="8" spans="1:19" ht="15.6" x14ac:dyDescent="0.3">
      <c r="J8" s="32"/>
      <c r="K8" s="32"/>
    </row>
    <row r="9" spans="1:19" ht="17.399999999999999" x14ac:dyDescent="0.3">
      <c r="C9" s="16" t="s">
        <v>541</v>
      </c>
      <c r="D9" s="20" t="s">
        <v>542</v>
      </c>
      <c r="E9" s="373"/>
      <c r="F9" s="374"/>
      <c r="G9" s="375"/>
      <c r="I9" s="20" t="s">
        <v>543</v>
      </c>
      <c r="J9" s="369" t="str">
        <f>CONCATENATE(INT(ABS(E9)),"°  ",INT((ABS(E9)-INT(ABS(E9)))*60),"' ",FIXED((((ABS(E9)-INT(ABS(E9)))*60)-INT((ABS(E9)-INT(ABS(E9)))*60))*60,4,FALSE),"''")</f>
        <v>0°  0' 0,0000''</v>
      </c>
      <c r="K9" s="369"/>
    </row>
    <row r="12" spans="1:19" ht="17.399999999999999" customHeight="1" x14ac:dyDescent="0.35">
      <c r="D12" s="376" t="s">
        <v>615</v>
      </c>
      <c r="E12" s="377"/>
      <c r="F12" s="377"/>
      <c r="G12" s="377"/>
      <c r="H12" s="377"/>
      <c r="I12" s="377"/>
      <c r="J12" s="377"/>
      <c r="K12" s="377"/>
      <c r="L12" s="377"/>
      <c r="M12" s="377"/>
      <c r="N12" s="377"/>
      <c r="O12" s="377"/>
      <c r="P12" s="377"/>
    </row>
    <row r="13" spans="1:19" ht="14.4" customHeight="1" x14ac:dyDescent="0.3">
      <c r="D13" s="368"/>
      <c r="E13" s="368"/>
      <c r="F13" s="368"/>
      <c r="G13" s="368"/>
      <c r="H13" s="368"/>
      <c r="I13" s="368"/>
      <c r="J13" s="368"/>
      <c r="K13" s="368"/>
      <c r="L13" s="368"/>
      <c r="M13" s="368"/>
      <c r="N13" s="368"/>
      <c r="O13" s="368"/>
      <c r="P13" s="368"/>
    </row>
    <row r="14" spans="1:19" ht="14.4" customHeight="1" x14ac:dyDescent="0.3">
      <c r="D14" s="368"/>
      <c r="E14" s="368"/>
      <c r="F14" s="368"/>
      <c r="G14" s="368"/>
      <c r="H14" s="368"/>
      <c r="I14" s="368"/>
      <c r="J14" s="368"/>
      <c r="K14" s="368"/>
      <c r="L14" s="368"/>
      <c r="M14" s="368"/>
      <c r="N14" s="368"/>
      <c r="O14" s="368"/>
      <c r="P14" s="368"/>
    </row>
    <row r="15" spans="1:19" ht="14.4" customHeight="1" x14ac:dyDescent="0.3">
      <c r="D15" s="368"/>
      <c r="E15" s="368"/>
      <c r="F15" s="368"/>
      <c r="G15" s="368"/>
      <c r="H15" s="368"/>
      <c r="I15" s="368"/>
      <c r="J15" s="368"/>
      <c r="K15" s="368"/>
      <c r="L15" s="368"/>
      <c r="M15" s="368"/>
      <c r="N15" s="368"/>
      <c r="O15" s="368"/>
      <c r="P15" s="368"/>
    </row>
    <row r="16" spans="1:19" ht="14.4" customHeight="1" x14ac:dyDescent="0.3">
      <c r="D16" s="368"/>
      <c r="E16" s="368"/>
      <c r="F16" s="368"/>
      <c r="G16" s="368"/>
      <c r="H16" s="368"/>
      <c r="I16" s="368"/>
      <c r="J16" s="368"/>
      <c r="K16" s="368"/>
      <c r="L16" s="368"/>
      <c r="M16" s="368"/>
      <c r="N16" s="368"/>
      <c r="O16" s="368"/>
      <c r="P16" s="368"/>
    </row>
    <row r="17" spans="4:16" ht="14.4" customHeight="1" x14ac:dyDescent="0.3">
      <c r="D17" s="368"/>
      <c r="E17" s="368"/>
      <c r="F17" s="368"/>
      <c r="G17" s="368"/>
      <c r="H17" s="368"/>
      <c r="I17" s="368"/>
      <c r="J17" s="368"/>
      <c r="K17" s="368"/>
      <c r="L17" s="368"/>
      <c r="M17" s="368"/>
      <c r="N17" s="368"/>
      <c r="O17" s="368"/>
      <c r="P17" s="368"/>
    </row>
    <row r="18" spans="4:16" ht="14.4" customHeight="1" x14ac:dyDescent="0.3">
      <c r="D18" s="368"/>
      <c r="E18" s="368"/>
      <c r="F18" s="368"/>
      <c r="G18" s="368"/>
      <c r="H18" s="368"/>
      <c r="I18" s="368"/>
      <c r="J18" s="368"/>
      <c r="K18" s="368"/>
      <c r="L18" s="368"/>
      <c r="M18" s="368"/>
      <c r="N18" s="368"/>
      <c r="O18" s="368"/>
      <c r="P18" s="368"/>
    </row>
    <row r="19" spans="4:16" ht="14.4" customHeight="1" x14ac:dyDescent="0.3">
      <c r="D19" s="368"/>
      <c r="E19" s="368"/>
      <c r="F19" s="368"/>
      <c r="G19" s="368"/>
      <c r="H19" s="368"/>
      <c r="I19" s="368"/>
      <c r="J19" s="368"/>
      <c r="K19" s="368"/>
      <c r="L19" s="368"/>
      <c r="M19" s="368"/>
      <c r="N19" s="368"/>
      <c r="O19" s="368"/>
      <c r="P19" s="368"/>
    </row>
    <row r="20" spans="4:16" ht="14.4" customHeight="1" x14ac:dyDescent="0.3">
      <c r="D20" s="368"/>
      <c r="E20" s="368"/>
      <c r="F20" s="368"/>
      <c r="G20" s="368"/>
      <c r="H20" s="368"/>
      <c r="I20" s="368"/>
      <c r="J20" s="368"/>
      <c r="K20" s="368"/>
      <c r="L20" s="368"/>
      <c r="M20" s="368"/>
      <c r="N20" s="368"/>
      <c r="O20" s="368"/>
      <c r="P20" s="368"/>
    </row>
    <row r="21" spans="4:16" ht="14.4" customHeight="1" x14ac:dyDescent="0.3">
      <c r="D21" s="368"/>
      <c r="E21" s="368"/>
      <c r="F21" s="368"/>
      <c r="G21" s="368"/>
      <c r="H21" s="368"/>
      <c r="I21" s="368"/>
      <c r="J21" s="368"/>
      <c r="K21" s="368"/>
      <c r="L21" s="368"/>
      <c r="M21" s="368"/>
      <c r="N21" s="368"/>
      <c r="O21" s="368"/>
      <c r="P21" s="368"/>
    </row>
    <row r="22" spans="4:16" ht="14.4" customHeight="1" x14ac:dyDescent="0.3">
      <c r="D22" s="368"/>
      <c r="E22" s="368"/>
      <c r="F22" s="368"/>
      <c r="G22" s="368"/>
      <c r="H22" s="368"/>
      <c r="I22" s="368"/>
      <c r="J22" s="368"/>
      <c r="K22" s="368"/>
      <c r="L22" s="368"/>
      <c r="M22" s="368"/>
      <c r="N22" s="368"/>
      <c r="O22" s="368"/>
      <c r="P22" s="368"/>
    </row>
    <row r="23" spans="4:16" ht="14.4" customHeight="1" x14ac:dyDescent="0.3">
      <c r="D23" s="368"/>
      <c r="E23" s="368"/>
      <c r="F23" s="368"/>
      <c r="G23" s="368"/>
      <c r="H23" s="368"/>
      <c r="I23" s="368"/>
      <c r="J23" s="368"/>
      <c r="K23" s="368"/>
      <c r="L23" s="368"/>
      <c r="M23" s="368"/>
      <c r="N23" s="368"/>
      <c r="O23" s="368"/>
      <c r="P23" s="368"/>
    </row>
    <row r="24" spans="4:16" ht="14.4" customHeight="1" x14ac:dyDescent="0.3">
      <c r="D24" s="368"/>
      <c r="E24" s="368"/>
      <c r="F24" s="368"/>
      <c r="G24" s="368"/>
      <c r="H24" s="368"/>
      <c r="I24" s="368"/>
      <c r="J24" s="368"/>
      <c r="K24" s="368"/>
      <c r="L24" s="368"/>
      <c r="M24" s="368"/>
      <c r="N24" s="368"/>
      <c r="O24" s="368"/>
      <c r="P24" s="368"/>
    </row>
    <row r="25" spans="4:16" ht="14.4" customHeight="1" x14ac:dyDescent="0.3">
      <c r="D25" s="368"/>
      <c r="E25" s="368"/>
      <c r="F25" s="368"/>
      <c r="G25" s="368"/>
      <c r="H25" s="368"/>
      <c r="I25" s="368"/>
      <c r="J25" s="368"/>
      <c r="K25" s="368"/>
      <c r="L25" s="368"/>
      <c r="M25" s="368"/>
      <c r="N25" s="368"/>
      <c r="O25" s="368"/>
      <c r="P25" s="368"/>
    </row>
    <row r="26" spans="4:16" ht="14.4" customHeight="1" x14ac:dyDescent="0.3">
      <c r="D26" s="368"/>
      <c r="E26" s="368"/>
      <c r="F26" s="368"/>
      <c r="G26" s="368"/>
      <c r="H26" s="368"/>
      <c r="I26" s="368"/>
      <c r="J26" s="368"/>
      <c r="K26" s="368"/>
      <c r="L26" s="368"/>
      <c r="M26" s="368"/>
      <c r="N26" s="368"/>
      <c r="O26" s="368"/>
      <c r="P26" s="368"/>
    </row>
    <row r="27" spans="4:16" ht="14.4" customHeight="1" x14ac:dyDescent="0.3">
      <c r="D27" s="368"/>
      <c r="E27" s="368"/>
      <c r="F27" s="368"/>
      <c r="G27" s="368"/>
      <c r="H27" s="368"/>
      <c r="I27" s="368"/>
      <c r="J27" s="368"/>
      <c r="K27" s="368"/>
      <c r="L27" s="368"/>
      <c r="M27" s="368"/>
      <c r="N27" s="368"/>
      <c r="O27" s="368"/>
      <c r="P27" s="368"/>
    </row>
    <row r="28" spans="4:16" ht="14.4" customHeight="1" x14ac:dyDescent="0.3">
      <c r="D28" s="368"/>
      <c r="E28" s="368"/>
      <c r="F28" s="368"/>
      <c r="G28" s="368"/>
      <c r="H28" s="368"/>
      <c r="I28" s="368"/>
      <c r="J28" s="368"/>
      <c r="K28" s="368"/>
      <c r="L28" s="368"/>
      <c r="M28" s="368"/>
      <c r="N28" s="368"/>
      <c r="O28" s="368"/>
      <c r="P28" s="368"/>
    </row>
    <row r="29" spans="4:16" ht="14.4" customHeight="1" x14ac:dyDescent="0.3">
      <c r="D29" s="368"/>
      <c r="E29" s="368"/>
      <c r="F29" s="368"/>
      <c r="G29" s="368"/>
      <c r="H29" s="368"/>
      <c r="I29" s="368"/>
      <c r="J29" s="368"/>
      <c r="K29" s="368"/>
      <c r="L29" s="368"/>
      <c r="M29" s="368"/>
      <c r="N29" s="368"/>
      <c r="O29" s="368"/>
      <c r="P29" s="368"/>
    </row>
    <row r="30" spans="4:16" ht="14.4" customHeight="1" x14ac:dyDescent="0.3">
      <c r="D30" s="368"/>
      <c r="E30" s="368"/>
      <c r="F30" s="368"/>
      <c r="G30" s="368"/>
      <c r="H30" s="368"/>
      <c r="I30" s="368"/>
      <c r="J30" s="368"/>
      <c r="K30" s="368"/>
      <c r="L30" s="368"/>
      <c r="M30" s="368"/>
      <c r="N30" s="368"/>
      <c r="O30" s="368"/>
      <c r="P30" s="368"/>
    </row>
    <row r="31" spans="4:16" ht="14.4" customHeight="1" x14ac:dyDescent="0.3">
      <c r="D31" s="368"/>
      <c r="E31" s="368"/>
      <c r="F31" s="368"/>
      <c r="G31" s="368"/>
      <c r="H31" s="368"/>
      <c r="I31" s="368"/>
      <c r="J31" s="368"/>
      <c r="K31" s="368"/>
      <c r="L31" s="368"/>
      <c r="M31" s="368"/>
      <c r="N31" s="368"/>
      <c r="O31" s="368"/>
      <c r="P31" s="368"/>
    </row>
    <row r="32" spans="4:16" ht="14.4" customHeight="1" x14ac:dyDescent="0.3">
      <c r="D32" s="368"/>
      <c r="E32" s="368"/>
      <c r="F32" s="368"/>
      <c r="G32" s="368"/>
      <c r="H32" s="368"/>
      <c r="I32" s="368"/>
      <c r="J32" s="368"/>
      <c r="K32" s="368"/>
      <c r="L32" s="368"/>
      <c r="M32" s="368"/>
      <c r="N32" s="368"/>
      <c r="O32" s="368"/>
      <c r="P32" s="368"/>
    </row>
    <row r="33" spans="4:16" ht="14.4" customHeight="1" x14ac:dyDescent="0.3">
      <c r="D33" s="368"/>
      <c r="E33" s="368"/>
      <c r="F33" s="368"/>
      <c r="G33" s="368"/>
      <c r="H33" s="368"/>
      <c r="I33" s="368"/>
      <c r="J33" s="368"/>
      <c r="K33" s="368"/>
      <c r="L33" s="368"/>
      <c r="M33" s="368"/>
      <c r="N33" s="368"/>
      <c r="O33" s="368"/>
      <c r="P33" s="368"/>
    </row>
    <row r="34" spans="4:16" ht="14.4" customHeight="1" x14ac:dyDescent="0.3">
      <c r="D34" s="368"/>
      <c r="E34" s="368"/>
      <c r="F34" s="368"/>
      <c r="G34" s="368"/>
      <c r="H34" s="368"/>
      <c r="I34" s="368"/>
      <c r="J34" s="368"/>
      <c r="K34" s="368"/>
      <c r="L34" s="368"/>
      <c r="M34" s="368"/>
      <c r="N34" s="368"/>
      <c r="O34" s="368"/>
      <c r="P34" s="368"/>
    </row>
    <row r="35" spans="4:16" ht="14.4" customHeight="1" x14ac:dyDescent="0.3">
      <c r="D35" s="368"/>
      <c r="E35" s="368"/>
      <c r="F35" s="368"/>
      <c r="G35" s="368"/>
      <c r="H35" s="368"/>
      <c r="I35" s="368"/>
      <c r="J35" s="368"/>
      <c r="K35" s="368"/>
      <c r="L35" s="368"/>
      <c r="M35" s="368"/>
      <c r="N35" s="368"/>
      <c r="O35" s="368"/>
      <c r="P35" s="368"/>
    </row>
    <row r="36" spans="4:16" ht="14.4" customHeight="1" x14ac:dyDescent="0.3">
      <c r="D36" s="368"/>
      <c r="E36" s="368"/>
      <c r="F36" s="368"/>
      <c r="G36" s="368"/>
      <c r="H36" s="368"/>
      <c r="I36" s="368"/>
      <c r="J36" s="368"/>
      <c r="K36" s="368"/>
      <c r="L36" s="368"/>
      <c r="M36" s="368"/>
      <c r="N36" s="368"/>
      <c r="O36" s="368"/>
      <c r="P36" s="368"/>
    </row>
    <row r="37" spans="4:16" ht="14.4" customHeight="1" x14ac:dyDescent="0.3">
      <c r="D37" s="368"/>
      <c r="E37" s="368"/>
      <c r="F37" s="368"/>
      <c r="G37" s="368"/>
      <c r="H37" s="368"/>
      <c r="I37" s="368"/>
      <c r="J37" s="368"/>
      <c r="K37" s="368"/>
      <c r="L37" s="368"/>
      <c r="M37" s="368"/>
      <c r="N37" s="368"/>
      <c r="O37" s="368"/>
      <c r="P37" s="368"/>
    </row>
    <row r="38" spans="4:16" ht="14.4" customHeight="1" x14ac:dyDescent="0.3">
      <c r="D38" s="368"/>
      <c r="E38" s="368"/>
      <c r="F38" s="368"/>
      <c r="G38" s="368"/>
      <c r="H38" s="368"/>
      <c r="I38" s="368"/>
      <c r="J38" s="368"/>
      <c r="K38" s="368"/>
      <c r="L38" s="368"/>
      <c r="M38" s="368"/>
      <c r="N38" s="368"/>
      <c r="O38" s="368"/>
      <c r="P38" s="368"/>
    </row>
    <row r="39" spans="4:16" ht="14.4" customHeight="1" x14ac:dyDescent="0.3">
      <c r="D39" s="368"/>
      <c r="E39" s="368"/>
      <c r="F39" s="368"/>
      <c r="G39" s="368"/>
      <c r="H39" s="368"/>
      <c r="I39" s="368"/>
      <c r="J39" s="368"/>
      <c r="K39" s="368"/>
      <c r="L39" s="368"/>
      <c r="M39" s="368"/>
      <c r="N39" s="368"/>
      <c r="O39" s="368"/>
      <c r="P39" s="368"/>
    </row>
    <row r="40" spans="4:16" ht="14.4" customHeight="1" x14ac:dyDescent="0.3">
      <c r="D40" s="368"/>
      <c r="E40" s="368"/>
      <c r="F40" s="368"/>
      <c r="G40" s="368"/>
      <c r="H40" s="368"/>
      <c r="I40" s="368"/>
      <c r="J40" s="368"/>
      <c r="K40" s="368"/>
      <c r="L40" s="368"/>
      <c r="M40" s="368"/>
      <c r="N40" s="368"/>
      <c r="O40" s="368"/>
      <c r="P40" s="368"/>
    </row>
    <row r="41" spans="4:16" ht="14.4" customHeight="1" x14ac:dyDescent="0.3">
      <c r="D41" s="368"/>
      <c r="E41" s="368"/>
      <c r="F41" s="368"/>
      <c r="G41" s="368"/>
      <c r="H41" s="368"/>
      <c r="I41" s="368"/>
      <c r="J41" s="368"/>
      <c r="K41" s="368"/>
      <c r="L41" s="368"/>
      <c r="M41" s="368"/>
      <c r="N41" s="368"/>
      <c r="O41" s="368"/>
      <c r="P41" s="368"/>
    </row>
    <row r="42" spans="4:16" ht="14.4" customHeight="1" x14ac:dyDescent="0.3">
      <c r="D42" s="368"/>
      <c r="E42" s="368"/>
      <c r="F42" s="368"/>
      <c r="G42" s="368"/>
      <c r="H42" s="368"/>
      <c r="I42" s="368"/>
      <c r="J42" s="368"/>
      <c r="K42" s="368"/>
      <c r="L42" s="368"/>
      <c r="M42" s="368"/>
      <c r="N42" s="368"/>
      <c r="O42" s="368"/>
      <c r="P42" s="368"/>
    </row>
    <row r="43" spans="4:16" ht="14.4" customHeight="1" x14ac:dyDescent="0.3">
      <c r="D43" s="368"/>
      <c r="E43" s="368"/>
      <c r="F43" s="368"/>
      <c r="G43" s="368"/>
      <c r="H43" s="368"/>
      <c r="I43" s="368"/>
      <c r="J43" s="368"/>
      <c r="K43" s="368"/>
      <c r="L43" s="368"/>
      <c r="M43" s="368"/>
      <c r="N43" s="368"/>
      <c r="O43" s="368"/>
      <c r="P43" s="368"/>
    </row>
    <row r="44" spans="4:16" ht="14.4" customHeight="1" x14ac:dyDescent="0.3">
      <c r="D44" s="368"/>
      <c r="E44" s="368"/>
      <c r="F44" s="368"/>
      <c r="G44" s="368"/>
      <c r="H44" s="368"/>
      <c r="I44" s="368"/>
      <c r="J44" s="368"/>
      <c r="K44" s="368"/>
      <c r="L44" s="368"/>
      <c r="M44" s="368"/>
      <c r="N44" s="368"/>
      <c r="O44" s="368"/>
      <c r="P44" s="368"/>
    </row>
    <row r="45" spans="4:16" ht="14.4" customHeight="1" x14ac:dyDescent="0.3">
      <c r="D45" s="368"/>
      <c r="E45" s="368"/>
      <c r="F45" s="368"/>
      <c r="G45" s="368"/>
      <c r="H45" s="368"/>
      <c r="I45" s="368"/>
      <c r="J45" s="368"/>
      <c r="K45" s="368"/>
      <c r="L45" s="368"/>
      <c r="M45" s="368"/>
      <c r="N45" s="368"/>
      <c r="O45" s="368"/>
      <c r="P45" s="368"/>
    </row>
    <row r="46" spans="4:16" ht="14.4" customHeight="1" x14ac:dyDescent="0.3">
      <c r="D46" s="368"/>
      <c r="E46" s="368"/>
      <c r="F46" s="368"/>
      <c r="G46" s="368"/>
      <c r="H46" s="368"/>
      <c r="I46" s="368"/>
      <c r="J46" s="368"/>
      <c r="K46" s="368"/>
      <c r="L46" s="368"/>
      <c r="M46" s="368"/>
      <c r="N46" s="368"/>
      <c r="O46" s="368"/>
      <c r="P46" s="368"/>
    </row>
    <row r="47" spans="4:16" ht="14.4" customHeight="1" x14ac:dyDescent="0.3">
      <c r="D47" s="368"/>
      <c r="E47" s="368"/>
      <c r="F47" s="368"/>
      <c r="G47" s="368"/>
      <c r="H47" s="368"/>
      <c r="I47" s="368"/>
      <c r="J47" s="368"/>
      <c r="K47" s="368"/>
      <c r="L47" s="368"/>
      <c r="M47" s="368"/>
      <c r="N47" s="368"/>
      <c r="O47" s="368"/>
      <c r="P47" s="368"/>
    </row>
    <row r="48" spans="4:16" ht="14.4" customHeight="1" x14ac:dyDescent="0.3">
      <c r="D48" s="368"/>
      <c r="E48" s="368"/>
      <c r="F48" s="368"/>
      <c r="G48" s="368"/>
      <c r="H48" s="368"/>
      <c r="I48" s="368"/>
      <c r="J48" s="368"/>
      <c r="K48" s="368"/>
      <c r="L48" s="368"/>
      <c r="M48" s="368"/>
      <c r="N48" s="368"/>
      <c r="O48" s="368"/>
      <c r="P48" s="368"/>
    </row>
    <row r="49" spans="4:16" ht="14.4" customHeight="1" x14ac:dyDescent="0.3">
      <c r="D49" s="368"/>
      <c r="E49" s="368"/>
      <c r="F49" s="368"/>
      <c r="G49" s="368"/>
      <c r="H49" s="368"/>
      <c r="I49" s="368"/>
      <c r="J49" s="368"/>
      <c r="K49" s="368"/>
      <c r="L49" s="368"/>
      <c r="M49" s="368"/>
      <c r="N49" s="368"/>
      <c r="O49" s="368"/>
      <c r="P49" s="368"/>
    </row>
    <row r="50" spans="4:16" ht="14.4" customHeight="1" x14ac:dyDescent="0.3">
      <c r="D50" s="368"/>
      <c r="E50" s="368"/>
      <c r="F50" s="368"/>
      <c r="G50" s="368"/>
      <c r="H50" s="368"/>
      <c r="I50" s="368"/>
      <c r="J50" s="368"/>
      <c r="K50" s="368"/>
      <c r="L50" s="368"/>
      <c r="M50" s="368"/>
      <c r="N50" s="368"/>
      <c r="O50" s="368"/>
      <c r="P50" s="368"/>
    </row>
    <row r="51" spans="4:16" ht="14.4" customHeight="1" x14ac:dyDescent="0.3">
      <c r="D51" s="368"/>
      <c r="E51" s="368"/>
      <c r="F51" s="368"/>
      <c r="G51" s="368"/>
      <c r="H51" s="368"/>
      <c r="I51" s="368"/>
      <c r="J51" s="368"/>
      <c r="K51" s="368"/>
      <c r="L51" s="368"/>
      <c r="M51" s="368"/>
      <c r="N51" s="368"/>
      <c r="O51" s="368"/>
      <c r="P51" s="368"/>
    </row>
    <row r="52" spans="4:16" ht="14.4" customHeight="1" x14ac:dyDescent="0.3">
      <c r="D52" s="368"/>
      <c r="E52" s="368"/>
      <c r="F52" s="368"/>
      <c r="G52" s="368"/>
      <c r="H52" s="368"/>
      <c r="I52" s="368"/>
      <c r="J52" s="368"/>
      <c r="K52" s="368"/>
      <c r="L52" s="368"/>
      <c r="M52" s="368"/>
      <c r="N52" s="368"/>
      <c r="O52" s="368"/>
      <c r="P52" s="368"/>
    </row>
    <row r="53" spans="4:16" ht="14.4" customHeight="1" x14ac:dyDescent="0.3">
      <c r="D53" s="368"/>
      <c r="E53" s="368"/>
      <c r="F53" s="368"/>
      <c r="G53" s="368"/>
      <c r="H53" s="368"/>
      <c r="I53" s="368"/>
      <c r="J53" s="368"/>
      <c r="K53" s="368"/>
      <c r="L53" s="368"/>
      <c r="M53" s="368"/>
      <c r="N53" s="368"/>
      <c r="O53" s="368"/>
      <c r="P53" s="368"/>
    </row>
    <row r="54" spans="4:16" ht="14.4" customHeight="1" x14ac:dyDescent="0.3">
      <c r="D54" s="368"/>
      <c r="E54" s="368"/>
      <c r="F54" s="368"/>
      <c r="G54" s="368"/>
      <c r="H54" s="368"/>
      <c r="I54" s="368"/>
      <c r="J54" s="368"/>
      <c r="K54" s="368"/>
      <c r="L54" s="368"/>
      <c r="M54" s="368"/>
      <c r="N54" s="368"/>
      <c r="O54" s="368"/>
      <c r="P54" s="368"/>
    </row>
    <row r="55" spans="4:16" ht="14.4" customHeight="1" x14ac:dyDescent="0.3">
      <c r="D55" s="368"/>
      <c r="E55" s="368"/>
      <c r="F55" s="368"/>
      <c r="G55" s="368"/>
      <c r="H55" s="368"/>
      <c r="I55" s="368"/>
      <c r="J55" s="368"/>
      <c r="K55" s="368"/>
      <c r="L55" s="368"/>
      <c r="M55" s="368"/>
      <c r="N55" s="368"/>
      <c r="O55" s="368"/>
      <c r="P55" s="368"/>
    </row>
  </sheetData>
  <mergeCells count="10">
    <mergeCell ref="D13:P55"/>
    <mergeCell ref="A1:S1"/>
    <mergeCell ref="A2:S2"/>
    <mergeCell ref="A3:S3"/>
    <mergeCell ref="B5:R5"/>
    <mergeCell ref="J7:K7"/>
    <mergeCell ref="J9:K9"/>
    <mergeCell ref="E7:G7"/>
    <mergeCell ref="E9:G9"/>
    <mergeCell ref="D12:P12"/>
  </mergeCells>
  <printOptions horizontalCentered="1"/>
  <pageMargins left="0.70866141732283472" right="0.70866141732283472" top="0.74803149606299213" bottom="0.74803149606299213" header="0.31496062992125984" footer="0.31496062992125984"/>
  <pageSetup scale="6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70B89-3884-4A78-B21F-710DCD22593E}">
  <sheetPr codeName="Hoja14"/>
  <dimension ref="A1:S199"/>
  <sheetViews>
    <sheetView showGridLines="0" view="pageBreakPreview" zoomScaleNormal="100" zoomScaleSheetLayoutView="100" workbookViewId="0">
      <selection activeCell="M7" sqref="M7:Q26"/>
    </sheetView>
  </sheetViews>
  <sheetFormatPr baseColWidth="10" defaultRowHeight="14.4" x14ac:dyDescent="0.3"/>
  <cols>
    <col min="1" max="1" width="5.109375" customWidth="1"/>
    <col min="18" max="18" width="8.88671875" customWidth="1"/>
    <col min="19" max="19" width="7.5546875" customWidth="1"/>
  </cols>
  <sheetData>
    <row r="1" spans="1:19" ht="14.4" customHeight="1" x14ac:dyDescent="0.3">
      <c r="A1" s="238"/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  <c r="S1" s="238"/>
    </row>
    <row r="2" spans="1:19" ht="14.4" customHeight="1" x14ac:dyDescent="0.3">
      <c r="A2" s="238" t="s">
        <v>15</v>
      </c>
      <c r="B2" s="238"/>
      <c r="C2" s="238"/>
      <c r="D2" s="238"/>
      <c r="E2" s="238"/>
      <c r="F2" s="238"/>
      <c r="G2" s="238"/>
      <c r="H2" s="238"/>
      <c r="I2" s="238"/>
      <c r="J2" s="238"/>
      <c r="K2" s="238"/>
      <c r="L2" s="238"/>
      <c r="M2" s="238"/>
      <c r="N2" s="238"/>
      <c r="O2" s="238"/>
      <c r="P2" s="238"/>
      <c r="Q2" s="238"/>
      <c r="R2" s="238"/>
      <c r="S2" s="238"/>
    </row>
    <row r="3" spans="1:19" ht="14.4" customHeight="1" x14ac:dyDescent="0.3">
      <c r="A3" s="238" t="s">
        <v>616</v>
      </c>
      <c r="B3" s="238"/>
      <c r="C3" s="238"/>
      <c r="D3" s="238"/>
      <c r="E3" s="238"/>
      <c r="F3" s="238"/>
      <c r="G3" s="238"/>
      <c r="H3" s="238"/>
      <c r="I3" s="238"/>
      <c r="J3" s="238"/>
      <c r="K3" s="238"/>
      <c r="L3" s="238"/>
      <c r="M3" s="238"/>
      <c r="N3" s="238"/>
      <c r="O3" s="238"/>
      <c r="P3" s="238"/>
      <c r="Q3" s="238"/>
      <c r="R3" s="238"/>
      <c r="S3" s="238"/>
    </row>
    <row r="5" spans="1:19" ht="20.399999999999999" x14ac:dyDescent="0.3">
      <c r="B5" s="390" t="s">
        <v>591</v>
      </c>
      <c r="C5" s="390"/>
      <c r="D5" s="390"/>
      <c r="E5" s="390"/>
      <c r="F5" s="390"/>
      <c r="G5" s="390"/>
      <c r="H5" s="390"/>
      <c r="I5" s="390"/>
      <c r="J5" s="390"/>
      <c r="K5" s="390"/>
      <c r="L5" s="390"/>
      <c r="M5" s="390"/>
      <c r="N5" s="390"/>
      <c r="O5" s="390"/>
      <c r="P5" s="390"/>
      <c r="Q5" s="390"/>
      <c r="R5" s="390"/>
    </row>
    <row r="7" spans="1:19" x14ac:dyDescent="0.3">
      <c r="C7" s="378"/>
      <c r="D7" s="379"/>
      <c r="E7" s="379"/>
      <c r="F7" s="379"/>
      <c r="G7" s="380"/>
      <c r="H7" s="378"/>
      <c r="I7" s="379"/>
      <c r="J7" s="379"/>
      <c r="K7" s="379"/>
      <c r="L7" s="380"/>
      <c r="M7" s="378"/>
      <c r="N7" s="379"/>
      <c r="O7" s="379"/>
      <c r="P7" s="379"/>
      <c r="Q7" s="380"/>
    </row>
    <row r="8" spans="1:19" x14ac:dyDescent="0.3">
      <c r="C8" s="381"/>
      <c r="D8" s="368"/>
      <c r="E8" s="368"/>
      <c r="F8" s="368"/>
      <c r="G8" s="382"/>
      <c r="H8" s="381"/>
      <c r="I8" s="368"/>
      <c r="J8" s="368"/>
      <c r="K8" s="368"/>
      <c r="L8" s="382"/>
      <c r="M8" s="381"/>
      <c r="N8" s="368"/>
      <c r="O8" s="368"/>
      <c r="P8" s="368"/>
      <c r="Q8" s="382"/>
    </row>
    <row r="9" spans="1:19" x14ac:dyDescent="0.3">
      <c r="C9" s="381"/>
      <c r="D9" s="368"/>
      <c r="E9" s="368"/>
      <c r="F9" s="368"/>
      <c r="G9" s="382"/>
      <c r="H9" s="381"/>
      <c r="I9" s="368"/>
      <c r="J9" s="368"/>
      <c r="K9" s="368"/>
      <c r="L9" s="382"/>
      <c r="M9" s="381"/>
      <c r="N9" s="368"/>
      <c r="O9" s="368"/>
      <c r="P9" s="368"/>
      <c r="Q9" s="382"/>
    </row>
    <row r="10" spans="1:19" x14ac:dyDescent="0.3">
      <c r="C10" s="381"/>
      <c r="D10" s="368"/>
      <c r="E10" s="368"/>
      <c r="F10" s="368"/>
      <c r="G10" s="382"/>
      <c r="H10" s="381"/>
      <c r="I10" s="368"/>
      <c r="J10" s="368"/>
      <c r="K10" s="368"/>
      <c r="L10" s="382"/>
      <c r="M10" s="381"/>
      <c r="N10" s="368"/>
      <c r="O10" s="368"/>
      <c r="P10" s="368"/>
      <c r="Q10" s="382"/>
    </row>
    <row r="11" spans="1:19" x14ac:dyDescent="0.3">
      <c r="C11" s="381"/>
      <c r="D11" s="368"/>
      <c r="E11" s="368"/>
      <c r="F11" s="368"/>
      <c r="G11" s="382"/>
      <c r="H11" s="381"/>
      <c r="I11" s="368"/>
      <c r="J11" s="368"/>
      <c r="K11" s="368"/>
      <c r="L11" s="382"/>
      <c r="M11" s="381"/>
      <c r="N11" s="368"/>
      <c r="O11" s="368"/>
      <c r="P11" s="368"/>
      <c r="Q11" s="382"/>
    </row>
    <row r="12" spans="1:19" x14ac:dyDescent="0.3">
      <c r="C12" s="381"/>
      <c r="D12" s="368"/>
      <c r="E12" s="368"/>
      <c r="F12" s="368"/>
      <c r="G12" s="382"/>
      <c r="H12" s="381"/>
      <c r="I12" s="368"/>
      <c r="J12" s="368"/>
      <c r="K12" s="368"/>
      <c r="L12" s="382"/>
      <c r="M12" s="381"/>
      <c r="N12" s="368"/>
      <c r="O12" s="368"/>
      <c r="P12" s="368"/>
      <c r="Q12" s="382"/>
    </row>
    <row r="13" spans="1:19" x14ac:dyDescent="0.3">
      <c r="C13" s="381"/>
      <c r="D13" s="368"/>
      <c r="E13" s="368"/>
      <c r="F13" s="368"/>
      <c r="G13" s="382"/>
      <c r="H13" s="381"/>
      <c r="I13" s="368"/>
      <c r="J13" s="368"/>
      <c r="K13" s="368"/>
      <c r="L13" s="382"/>
      <c r="M13" s="381"/>
      <c r="N13" s="368"/>
      <c r="O13" s="368"/>
      <c r="P13" s="368"/>
      <c r="Q13" s="382"/>
    </row>
    <row r="14" spans="1:19" x14ac:dyDescent="0.3">
      <c r="C14" s="381"/>
      <c r="D14" s="368"/>
      <c r="E14" s="368"/>
      <c r="F14" s="368"/>
      <c r="G14" s="382"/>
      <c r="H14" s="381"/>
      <c r="I14" s="368"/>
      <c r="J14" s="368"/>
      <c r="K14" s="368"/>
      <c r="L14" s="382"/>
      <c r="M14" s="381"/>
      <c r="N14" s="368"/>
      <c r="O14" s="368"/>
      <c r="P14" s="368"/>
      <c r="Q14" s="382"/>
    </row>
    <row r="15" spans="1:19" x14ac:dyDescent="0.3">
      <c r="C15" s="381"/>
      <c r="D15" s="368"/>
      <c r="E15" s="368"/>
      <c r="F15" s="368"/>
      <c r="G15" s="382"/>
      <c r="H15" s="381"/>
      <c r="I15" s="368"/>
      <c r="J15" s="368"/>
      <c r="K15" s="368"/>
      <c r="L15" s="382"/>
      <c r="M15" s="381"/>
      <c r="N15" s="368"/>
      <c r="O15" s="368"/>
      <c r="P15" s="368"/>
      <c r="Q15" s="382"/>
    </row>
    <row r="16" spans="1:19" x14ac:dyDescent="0.3">
      <c r="C16" s="381"/>
      <c r="D16" s="368"/>
      <c r="E16" s="368"/>
      <c r="F16" s="368"/>
      <c r="G16" s="382"/>
      <c r="H16" s="381"/>
      <c r="I16" s="368"/>
      <c r="J16" s="368"/>
      <c r="K16" s="368"/>
      <c r="L16" s="382"/>
      <c r="M16" s="381"/>
      <c r="N16" s="368"/>
      <c r="O16" s="368"/>
      <c r="P16" s="368"/>
      <c r="Q16" s="382"/>
    </row>
    <row r="17" spans="3:17" x14ac:dyDescent="0.3">
      <c r="C17" s="381"/>
      <c r="D17" s="368"/>
      <c r="E17" s="368"/>
      <c r="F17" s="368"/>
      <c r="G17" s="382"/>
      <c r="H17" s="381"/>
      <c r="I17" s="368"/>
      <c r="J17" s="368"/>
      <c r="K17" s="368"/>
      <c r="L17" s="382"/>
      <c r="M17" s="381"/>
      <c r="N17" s="368"/>
      <c r="O17" s="368"/>
      <c r="P17" s="368"/>
      <c r="Q17" s="382"/>
    </row>
    <row r="18" spans="3:17" x14ac:dyDescent="0.3">
      <c r="C18" s="381"/>
      <c r="D18" s="368"/>
      <c r="E18" s="368"/>
      <c r="F18" s="368"/>
      <c r="G18" s="382"/>
      <c r="H18" s="381"/>
      <c r="I18" s="368"/>
      <c r="J18" s="368"/>
      <c r="K18" s="368"/>
      <c r="L18" s="382"/>
      <c r="M18" s="381"/>
      <c r="N18" s="368"/>
      <c r="O18" s="368"/>
      <c r="P18" s="368"/>
      <c r="Q18" s="382"/>
    </row>
    <row r="19" spans="3:17" x14ac:dyDescent="0.3">
      <c r="C19" s="381"/>
      <c r="D19" s="368"/>
      <c r="E19" s="368"/>
      <c r="F19" s="368"/>
      <c r="G19" s="382"/>
      <c r="H19" s="381"/>
      <c r="I19" s="368"/>
      <c r="J19" s="368"/>
      <c r="K19" s="368"/>
      <c r="L19" s="382"/>
      <c r="M19" s="381"/>
      <c r="N19" s="368"/>
      <c r="O19" s="368"/>
      <c r="P19" s="368"/>
      <c r="Q19" s="382"/>
    </row>
    <row r="20" spans="3:17" x14ac:dyDescent="0.3">
      <c r="C20" s="381"/>
      <c r="D20" s="368"/>
      <c r="E20" s="368"/>
      <c r="F20" s="368"/>
      <c r="G20" s="382"/>
      <c r="H20" s="381"/>
      <c r="I20" s="368"/>
      <c r="J20" s="368"/>
      <c r="K20" s="368"/>
      <c r="L20" s="382"/>
      <c r="M20" s="381"/>
      <c r="N20" s="368"/>
      <c r="O20" s="368"/>
      <c r="P20" s="368"/>
      <c r="Q20" s="382"/>
    </row>
    <row r="21" spans="3:17" x14ac:dyDescent="0.3">
      <c r="C21" s="381"/>
      <c r="D21" s="368"/>
      <c r="E21" s="368"/>
      <c r="F21" s="368"/>
      <c r="G21" s="382"/>
      <c r="H21" s="381"/>
      <c r="I21" s="368"/>
      <c r="J21" s="368"/>
      <c r="K21" s="368"/>
      <c r="L21" s="382"/>
      <c r="M21" s="381"/>
      <c r="N21" s="368"/>
      <c r="O21" s="368"/>
      <c r="P21" s="368"/>
      <c r="Q21" s="382"/>
    </row>
    <row r="22" spans="3:17" x14ac:dyDescent="0.3">
      <c r="C22" s="381"/>
      <c r="D22" s="368"/>
      <c r="E22" s="368"/>
      <c r="F22" s="368"/>
      <c r="G22" s="382"/>
      <c r="H22" s="381"/>
      <c r="I22" s="368"/>
      <c r="J22" s="368"/>
      <c r="K22" s="368"/>
      <c r="L22" s="382"/>
      <c r="M22" s="381"/>
      <c r="N22" s="368"/>
      <c r="O22" s="368"/>
      <c r="P22" s="368"/>
      <c r="Q22" s="382"/>
    </row>
    <row r="23" spans="3:17" x14ac:dyDescent="0.3">
      <c r="C23" s="381"/>
      <c r="D23" s="368"/>
      <c r="E23" s="368"/>
      <c r="F23" s="368"/>
      <c r="G23" s="382"/>
      <c r="H23" s="381"/>
      <c r="I23" s="368"/>
      <c r="J23" s="368"/>
      <c r="K23" s="368"/>
      <c r="L23" s="382"/>
      <c r="M23" s="381"/>
      <c r="N23" s="368"/>
      <c r="O23" s="368"/>
      <c r="P23" s="368"/>
      <c r="Q23" s="382"/>
    </row>
    <row r="24" spans="3:17" x14ac:dyDescent="0.3">
      <c r="C24" s="381"/>
      <c r="D24" s="368"/>
      <c r="E24" s="368"/>
      <c r="F24" s="368"/>
      <c r="G24" s="382"/>
      <c r="H24" s="381"/>
      <c r="I24" s="368"/>
      <c r="J24" s="368"/>
      <c r="K24" s="368"/>
      <c r="L24" s="382"/>
      <c r="M24" s="381"/>
      <c r="N24" s="368"/>
      <c r="O24" s="368"/>
      <c r="P24" s="368"/>
      <c r="Q24" s="382"/>
    </row>
    <row r="25" spans="3:17" x14ac:dyDescent="0.3">
      <c r="C25" s="381"/>
      <c r="D25" s="368"/>
      <c r="E25" s="368"/>
      <c r="F25" s="368"/>
      <c r="G25" s="382"/>
      <c r="H25" s="381"/>
      <c r="I25" s="368"/>
      <c r="J25" s="368"/>
      <c r="K25" s="368"/>
      <c r="L25" s="382"/>
      <c r="M25" s="381"/>
      <c r="N25" s="368"/>
      <c r="O25" s="368"/>
      <c r="P25" s="368"/>
      <c r="Q25" s="382"/>
    </row>
    <row r="26" spans="3:17" x14ac:dyDescent="0.3">
      <c r="C26" s="383"/>
      <c r="D26" s="384"/>
      <c r="E26" s="384"/>
      <c r="F26" s="384"/>
      <c r="G26" s="385"/>
      <c r="H26" s="383"/>
      <c r="I26" s="384"/>
      <c r="J26" s="384"/>
      <c r="K26" s="384"/>
      <c r="L26" s="385"/>
      <c r="M26" s="383"/>
      <c r="N26" s="384"/>
      <c r="O26" s="384"/>
      <c r="P26" s="384"/>
      <c r="Q26" s="385"/>
    </row>
    <row r="27" spans="3:17" x14ac:dyDescent="0.3">
      <c r="C27" s="386"/>
      <c r="D27" s="387"/>
      <c r="E27" s="387"/>
      <c r="F27" s="387"/>
      <c r="G27" s="388"/>
      <c r="H27" s="386"/>
      <c r="I27" s="387"/>
      <c r="J27" s="387"/>
      <c r="K27" s="387"/>
      <c r="L27" s="388"/>
      <c r="M27" s="386"/>
      <c r="N27" s="387"/>
      <c r="O27" s="387"/>
      <c r="P27" s="387"/>
      <c r="Q27" s="388"/>
    </row>
    <row r="28" spans="3:17" x14ac:dyDescent="0.3">
      <c r="C28" s="378"/>
      <c r="D28" s="379"/>
      <c r="E28" s="379"/>
      <c r="F28" s="379"/>
      <c r="G28" s="380"/>
      <c r="H28" s="378"/>
      <c r="I28" s="379"/>
      <c r="J28" s="379"/>
      <c r="K28" s="379"/>
      <c r="L28" s="380"/>
      <c r="M28" s="378"/>
      <c r="N28" s="379"/>
      <c r="O28" s="379"/>
      <c r="P28" s="379"/>
      <c r="Q28" s="380"/>
    </row>
    <row r="29" spans="3:17" x14ac:dyDescent="0.3">
      <c r="C29" s="381"/>
      <c r="D29" s="368"/>
      <c r="E29" s="368"/>
      <c r="F29" s="368"/>
      <c r="G29" s="382"/>
      <c r="H29" s="381"/>
      <c r="I29" s="368"/>
      <c r="J29" s="368"/>
      <c r="K29" s="368"/>
      <c r="L29" s="382"/>
      <c r="M29" s="381"/>
      <c r="N29" s="368"/>
      <c r="O29" s="368"/>
      <c r="P29" s="368"/>
      <c r="Q29" s="382"/>
    </row>
    <row r="30" spans="3:17" x14ac:dyDescent="0.3">
      <c r="C30" s="381"/>
      <c r="D30" s="368"/>
      <c r="E30" s="368"/>
      <c r="F30" s="368"/>
      <c r="G30" s="382"/>
      <c r="H30" s="381"/>
      <c r="I30" s="368"/>
      <c r="J30" s="368"/>
      <c r="K30" s="368"/>
      <c r="L30" s="382"/>
      <c r="M30" s="381"/>
      <c r="N30" s="368"/>
      <c r="O30" s="368"/>
      <c r="P30" s="368"/>
      <c r="Q30" s="382"/>
    </row>
    <row r="31" spans="3:17" x14ac:dyDescent="0.3">
      <c r="C31" s="381"/>
      <c r="D31" s="368"/>
      <c r="E31" s="368"/>
      <c r="F31" s="368"/>
      <c r="G31" s="382"/>
      <c r="H31" s="381"/>
      <c r="I31" s="368"/>
      <c r="J31" s="368"/>
      <c r="K31" s="368"/>
      <c r="L31" s="382"/>
      <c r="M31" s="381"/>
      <c r="N31" s="368"/>
      <c r="O31" s="368"/>
      <c r="P31" s="368"/>
      <c r="Q31" s="382"/>
    </row>
    <row r="32" spans="3:17" x14ac:dyDescent="0.3">
      <c r="C32" s="381"/>
      <c r="D32" s="368"/>
      <c r="E32" s="368"/>
      <c r="F32" s="368"/>
      <c r="G32" s="382"/>
      <c r="H32" s="381"/>
      <c r="I32" s="368"/>
      <c r="J32" s="368"/>
      <c r="K32" s="368"/>
      <c r="L32" s="382"/>
      <c r="M32" s="381"/>
      <c r="N32" s="368"/>
      <c r="O32" s="368"/>
      <c r="P32" s="368"/>
      <c r="Q32" s="382"/>
    </row>
    <row r="33" spans="3:17" x14ac:dyDescent="0.3">
      <c r="C33" s="381"/>
      <c r="D33" s="368"/>
      <c r="E33" s="368"/>
      <c r="F33" s="368"/>
      <c r="G33" s="382"/>
      <c r="H33" s="381"/>
      <c r="I33" s="368"/>
      <c r="J33" s="368"/>
      <c r="K33" s="368"/>
      <c r="L33" s="382"/>
      <c r="M33" s="381"/>
      <c r="N33" s="368"/>
      <c r="O33" s="368"/>
      <c r="P33" s="368"/>
      <c r="Q33" s="382"/>
    </row>
    <row r="34" spans="3:17" x14ac:dyDescent="0.3">
      <c r="C34" s="381"/>
      <c r="D34" s="368"/>
      <c r="E34" s="368"/>
      <c r="F34" s="368"/>
      <c r="G34" s="382"/>
      <c r="H34" s="381"/>
      <c r="I34" s="368"/>
      <c r="J34" s="368"/>
      <c r="K34" s="368"/>
      <c r="L34" s="382"/>
      <c r="M34" s="381"/>
      <c r="N34" s="368"/>
      <c r="O34" s="368"/>
      <c r="P34" s="368"/>
      <c r="Q34" s="382"/>
    </row>
    <row r="35" spans="3:17" x14ac:dyDescent="0.3">
      <c r="C35" s="381"/>
      <c r="D35" s="368"/>
      <c r="E35" s="368"/>
      <c r="F35" s="368"/>
      <c r="G35" s="382"/>
      <c r="H35" s="381"/>
      <c r="I35" s="368"/>
      <c r="J35" s="368"/>
      <c r="K35" s="368"/>
      <c r="L35" s="382"/>
      <c r="M35" s="381"/>
      <c r="N35" s="368"/>
      <c r="O35" s="368"/>
      <c r="P35" s="368"/>
      <c r="Q35" s="382"/>
    </row>
    <row r="36" spans="3:17" x14ac:dyDescent="0.3">
      <c r="C36" s="381"/>
      <c r="D36" s="368"/>
      <c r="E36" s="368"/>
      <c r="F36" s="368"/>
      <c r="G36" s="382"/>
      <c r="H36" s="381"/>
      <c r="I36" s="368"/>
      <c r="J36" s="368"/>
      <c r="K36" s="368"/>
      <c r="L36" s="382"/>
      <c r="M36" s="381"/>
      <c r="N36" s="368"/>
      <c r="O36" s="368"/>
      <c r="P36" s="368"/>
      <c r="Q36" s="382"/>
    </row>
    <row r="37" spans="3:17" x14ac:dyDescent="0.3">
      <c r="C37" s="381"/>
      <c r="D37" s="368"/>
      <c r="E37" s="368"/>
      <c r="F37" s="368"/>
      <c r="G37" s="382"/>
      <c r="H37" s="381"/>
      <c r="I37" s="368"/>
      <c r="J37" s="368"/>
      <c r="K37" s="368"/>
      <c r="L37" s="382"/>
      <c r="M37" s="381"/>
      <c r="N37" s="368"/>
      <c r="O37" s="368"/>
      <c r="P37" s="368"/>
      <c r="Q37" s="382"/>
    </row>
    <row r="38" spans="3:17" x14ac:dyDescent="0.3">
      <c r="C38" s="381"/>
      <c r="D38" s="368"/>
      <c r="E38" s="368"/>
      <c r="F38" s="368"/>
      <c r="G38" s="382"/>
      <c r="H38" s="381"/>
      <c r="I38" s="368"/>
      <c r="J38" s="368"/>
      <c r="K38" s="368"/>
      <c r="L38" s="382"/>
      <c r="M38" s="381"/>
      <c r="N38" s="368"/>
      <c r="O38" s="368"/>
      <c r="P38" s="368"/>
      <c r="Q38" s="382"/>
    </row>
    <row r="39" spans="3:17" x14ac:dyDescent="0.3">
      <c r="C39" s="381"/>
      <c r="D39" s="368"/>
      <c r="E39" s="368"/>
      <c r="F39" s="368"/>
      <c r="G39" s="382"/>
      <c r="H39" s="381"/>
      <c r="I39" s="368"/>
      <c r="J39" s="368"/>
      <c r="K39" s="368"/>
      <c r="L39" s="382"/>
      <c r="M39" s="381"/>
      <c r="N39" s="368"/>
      <c r="O39" s="368"/>
      <c r="P39" s="368"/>
      <c r="Q39" s="382"/>
    </row>
    <row r="40" spans="3:17" x14ac:dyDescent="0.3">
      <c r="C40" s="381"/>
      <c r="D40" s="368"/>
      <c r="E40" s="368"/>
      <c r="F40" s="368"/>
      <c r="G40" s="382"/>
      <c r="H40" s="381"/>
      <c r="I40" s="368"/>
      <c r="J40" s="368"/>
      <c r="K40" s="368"/>
      <c r="L40" s="382"/>
      <c r="M40" s="381"/>
      <c r="N40" s="368"/>
      <c r="O40" s="368"/>
      <c r="P40" s="368"/>
      <c r="Q40" s="382"/>
    </row>
    <row r="41" spans="3:17" x14ac:dyDescent="0.3">
      <c r="C41" s="381"/>
      <c r="D41" s="368"/>
      <c r="E41" s="368"/>
      <c r="F41" s="368"/>
      <c r="G41" s="382"/>
      <c r="H41" s="381"/>
      <c r="I41" s="368"/>
      <c r="J41" s="368"/>
      <c r="K41" s="368"/>
      <c r="L41" s="382"/>
      <c r="M41" s="381"/>
      <c r="N41" s="368"/>
      <c r="O41" s="368"/>
      <c r="P41" s="368"/>
      <c r="Q41" s="382"/>
    </row>
    <row r="42" spans="3:17" x14ac:dyDescent="0.3">
      <c r="C42" s="381"/>
      <c r="D42" s="368"/>
      <c r="E42" s="368"/>
      <c r="F42" s="368"/>
      <c r="G42" s="382"/>
      <c r="H42" s="381"/>
      <c r="I42" s="368"/>
      <c r="J42" s="368"/>
      <c r="K42" s="368"/>
      <c r="L42" s="382"/>
      <c r="M42" s="381"/>
      <c r="N42" s="368"/>
      <c r="O42" s="368"/>
      <c r="P42" s="368"/>
      <c r="Q42" s="382"/>
    </row>
    <row r="43" spans="3:17" x14ac:dyDescent="0.3">
      <c r="C43" s="381"/>
      <c r="D43" s="368"/>
      <c r="E43" s="368"/>
      <c r="F43" s="368"/>
      <c r="G43" s="382"/>
      <c r="H43" s="381"/>
      <c r="I43" s="368"/>
      <c r="J43" s="368"/>
      <c r="K43" s="368"/>
      <c r="L43" s="382"/>
      <c r="M43" s="381"/>
      <c r="N43" s="368"/>
      <c r="O43" s="368"/>
      <c r="P43" s="368"/>
      <c r="Q43" s="382"/>
    </row>
    <row r="44" spans="3:17" x14ac:dyDescent="0.3">
      <c r="C44" s="381"/>
      <c r="D44" s="368"/>
      <c r="E44" s="368"/>
      <c r="F44" s="368"/>
      <c r="G44" s="382"/>
      <c r="H44" s="381"/>
      <c r="I44" s="368"/>
      <c r="J44" s="368"/>
      <c r="K44" s="368"/>
      <c r="L44" s="382"/>
      <c r="M44" s="381"/>
      <c r="N44" s="368"/>
      <c r="O44" s="368"/>
      <c r="P44" s="368"/>
      <c r="Q44" s="382"/>
    </row>
    <row r="45" spans="3:17" x14ac:dyDescent="0.3">
      <c r="C45" s="381"/>
      <c r="D45" s="368"/>
      <c r="E45" s="368"/>
      <c r="F45" s="368"/>
      <c r="G45" s="382"/>
      <c r="H45" s="381"/>
      <c r="I45" s="368"/>
      <c r="J45" s="368"/>
      <c r="K45" s="368"/>
      <c r="L45" s="382"/>
      <c r="M45" s="381"/>
      <c r="N45" s="368"/>
      <c r="O45" s="368"/>
      <c r="P45" s="368"/>
      <c r="Q45" s="382"/>
    </row>
    <row r="46" spans="3:17" x14ac:dyDescent="0.3">
      <c r="C46" s="381"/>
      <c r="D46" s="368"/>
      <c r="E46" s="368"/>
      <c r="F46" s="368"/>
      <c r="G46" s="382"/>
      <c r="H46" s="381"/>
      <c r="I46" s="368"/>
      <c r="J46" s="368"/>
      <c r="K46" s="368"/>
      <c r="L46" s="382"/>
      <c r="M46" s="381"/>
      <c r="N46" s="368"/>
      <c r="O46" s="368"/>
      <c r="P46" s="368"/>
      <c r="Q46" s="382"/>
    </row>
    <row r="47" spans="3:17" x14ac:dyDescent="0.3">
      <c r="C47" s="383"/>
      <c r="D47" s="384"/>
      <c r="E47" s="384"/>
      <c r="F47" s="384"/>
      <c r="G47" s="385"/>
      <c r="H47" s="383"/>
      <c r="I47" s="384"/>
      <c r="J47" s="384"/>
      <c r="K47" s="384"/>
      <c r="L47" s="385"/>
      <c r="M47" s="383"/>
      <c r="N47" s="384"/>
      <c r="O47" s="384"/>
      <c r="P47" s="384"/>
      <c r="Q47" s="385"/>
    </row>
    <row r="48" spans="3:17" x14ac:dyDescent="0.3">
      <c r="C48" s="386"/>
      <c r="D48" s="387"/>
      <c r="E48" s="387"/>
      <c r="F48" s="387"/>
      <c r="G48" s="388"/>
      <c r="H48" s="386"/>
      <c r="I48" s="387"/>
      <c r="J48" s="387"/>
      <c r="K48" s="387"/>
      <c r="L48" s="388"/>
      <c r="M48" s="386"/>
      <c r="N48" s="387"/>
      <c r="O48" s="387"/>
      <c r="P48" s="387"/>
      <c r="Q48" s="388"/>
    </row>
    <row r="49" spans="3:17" x14ac:dyDescent="0.3">
      <c r="C49" s="378"/>
      <c r="D49" s="379"/>
      <c r="E49" s="379"/>
      <c r="F49" s="379"/>
      <c r="G49" s="380"/>
      <c r="H49" s="378"/>
      <c r="I49" s="379"/>
      <c r="J49" s="379"/>
      <c r="K49" s="379"/>
      <c r="L49" s="380"/>
      <c r="M49" s="378"/>
      <c r="N49" s="379"/>
      <c r="O49" s="379"/>
      <c r="P49" s="379"/>
      <c r="Q49" s="380"/>
    </row>
    <row r="50" spans="3:17" x14ac:dyDescent="0.3">
      <c r="C50" s="381"/>
      <c r="D50" s="368"/>
      <c r="E50" s="368"/>
      <c r="F50" s="368"/>
      <c r="G50" s="382"/>
      <c r="H50" s="381"/>
      <c r="I50" s="368"/>
      <c r="J50" s="368"/>
      <c r="K50" s="368"/>
      <c r="L50" s="382"/>
      <c r="M50" s="381"/>
      <c r="N50" s="368"/>
      <c r="O50" s="368"/>
      <c r="P50" s="368"/>
      <c r="Q50" s="382"/>
    </row>
    <row r="51" spans="3:17" x14ac:dyDescent="0.3">
      <c r="C51" s="381"/>
      <c r="D51" s="368"/>
      <c r="E51" s="368"/>
      <c r="F51" s="368"/>
      <c r="G51" s="382"/>
      <c r="H51" s="381"/>
      <c r="I51" s="368"/>
      <c r="J51" s="368"/>
      <c r="K51" s="368"/>
      <c r="L51" s="382"/>
      <c r="M51" s="381"/>
      <c r="N51" s="368"/>
      <c r="O51" s="368"/>
      <c r="P51" s="368"/>
      <c r="Q51" s="382"/>
    </row>
    <row r="52" spans="3:17" x14ac:dyDescent="0.3">
      <c r="C52" s="381"/>
      <c r="D52" s="368"/>
      <c r="E52" s="368"/>
      <c r="F52" s="368"/>
      <c r="G52" s="382"/>
      <c r="H52" s="381"/>
      <c r="I52" s="368"/>
      <c r="J52" s="368"/>
      <c r="K52" s="368"/>
      <c r="L52" s="382"/>
      <c r="M52" s="381"/>
      <c r="N52" s="368"/>
      <c r="O52" s="368"/>
      <c r="P52" s="368"/>
      <c r="Q52" s="382"/>
    </row>
    <row r="53" spans="3:17" x14ac:dyDescent="0.3">
      <c r="C53" s="381"/>
      <c r="D53" s="368"/>
      <c r="E53" s="368"/>
      <c r="F53" s="368"/>
      <c r="G53" s="382"/>
      <c r="H53" s="381"/>
      <c r="I53" s="368"/>
      <c r="J53" s="368"/>
      <c r="K53" s="368"/>
      <c r="L53" s="382"/>
      <c r="M53" s="381"/>
      <c r="N53" s="368"/>
      <c r="O53" s="368"/>
      <c r="P53" s="368"/>
      <c r="Q53" s="382"/>
    </row>
    <row r="54" spans="3:17" x14ac:dyDescent="0.3">
      <c r="C54" s="381"/>
      <c r="D54" s="368"/>
      <c r="E54" s="368"/>
      <c r="F54" s="368"/>
      <c r="G54" s="382"/>
      <c r="H54" s="381"/>
      <c r="I54" s="368"/>
      <c r="J54" s="368"/>
      <c r="K54" s="368"/>
      <c r="L54" s="382"/>
      <c r="M54" s="381"/>
      <c r="N54" s="368"/>
      <c r="O54" s="368"/>
      <c r="P54" s="368"/>
      <c r="Q54" s="382"/>
    </row>
    <row r="55" spans="3:17" x14ac:dyDescent="0.3">
      <c r="C55" s="381"/>
      <c r="D55" s="368"/>
      <c r="E55" s="368"/>
      <c r="F55" s="368"/>
      <c r="G55" s="382"/>
      <c r="H55" s="381"/>
      <c r="I55" s="368"/>
      <c r="J55" s="368"/>
      <c r="K55" s="368"/>
      <c r="L55" s="382"/>
      <c r="M55" s="381"/>
      <c r="N55" s="368"/>
      <c r="O55" s="368"/>
      <c r="P55" s="368"/>
      <c r="Q55" s="382"/>
    </row>
    <row r="56" spans="3:17" x14ac:dyDescent="0.3">
      <c r="C56" s="381"/>
      <c r="D56" s="368"/>
      <c r="E56" s="368"/>
      <c r="F56" s="368"/>
      <c r="G56" s="382"/>
      <c r="H56" s="381"/>
      <c r="I56" s="368"/>
      <c r="J56" s="368"/>
      <c r="K56" s="368"/>
      <c r="L56" s="382"/>
      <c r="M56" s="381"/>
      <c r="N56" s="368"/>
      <c r="O56" s="368"/>
      <c r="P56" s="368"/>
      <c r="Q56" s="382"/>
    </row>
    <row r="57" spans="3:17" x14ac:dyDescent="0.3">
      <c r="C57" s="381"/>
      <c r="D57" s="368"/>
      <c r="E57" s="368"/>
      <c r="F57" s="368"/>
      <c r="G57" s="382"/>
      <c r="H57" s="381"/>
      <c r="I57" s="368"/>
      <c r="J57" s="368"/>
      <c r="K57" s="368"/>
      <c r="L57" s="382"/>
      <c r="M57" s="381"/>
      <c r="N57" s="368"/>
      <c r="O57" s="368"/>
      <c r="P57" s="368"/>
      <c r="Q57" s="382"/>
    </row>
    <row r="58" spans="3:17" x14ac:dyDescent="0.3">
      <c r="C58" s="381"/>
      <c r="D58" s="368"/>
      <c r="E58" s="368"/>
      <c r="F58" s="368"/>
      <c r="G58" s="382"/>
      <c r="H58" s="381"/>
      <c r="I58" s="368"/>
      <c r="J58" s="368"/>
      <c r="K58" s="368"/>
      <c r="L58" s="382"/>
      <c r="M58" s="381"/>
      <c r="N58" s="368"/>
      <c r="O58" s="368"/>
      <c r="P58" s="368"/>
      <c r="Q58" s="382"/>
    </row>
    <row r="59" spans="3:17" x14ac:dyDescent="0.3">
      <c r="C59" s="381"/>
      <c r="D59" s="368"/>
      <c r="E59" s="368"/>
      <c r="F59" s="368"/>
      <c r="G59" s="382"/>
      <c r="H59" s="381"/>
      <c r="I59" s="368"/>
      <c r="J59" s="368"/>
      <c r="K59" s="368"/>
      <c r="L59" s="382"/>
      <c r="M59" s="381"/>
      <c r="N59" s="368"/>
      <c r="O59" s="368"/>
      <c r="P59" s="368"/>
      <c r="Q59" s="382"/>
    </row>
    <row r="60" spans="3:17" x14ac:dyDescent="0.3">
      <c r="C60" s="381"/>
      <c r="D60" s="368"/>
      <c r="E60" s="368"/>
      <c r="F60" s="368"/>
      <c r="G60" s="382"/>
      <c r="H60" s="381"/>
      <c r="I60" s="368"/>
      <c r="J60" s="368"/>
      <c r="K60" s="368"/>
      <c r="L60" s="382"/>
      <c r="M60" s="381"/>
      <c r="N60" s="368"/>
      <c r="O60" s="368"/>
      <c r="P60" s="368"/>
      <c r="Q60" s="382"/>
    </row>
    <row r="61" spans="3:17" x14ac:dyDescent="0.3">
      <c r="C61" s="381"/>
      <c r="D61" s="368"/>
      <c r="E61" s="368"/>
      <c r="F61" s="368"/>
      <c r="G61" s="382"/>
      <c r="H61" s="381"/>
      <c r="I61" s="368"/>
      <c r="J61" s="368"/>
      <c r="K61" s="368"/>
      <c r="L61" s="382"/>
      <c r="M61" s="381"/>
      <c r="N61" s="368"/>
      <c r="O61" s="368"/>
      <c r="P61" s="368"/>
      <c r="Q61" s="382"/>
    </row>
    <row r="62" spans="3:17" x14ac:dyDescent="0.3">
      <c r="C62" s="381"/>
      <c r="D62" s="368"/>
      <c r="E62" s="368"/>
      <c r="F62" s="368"/>
      <c r="G62" s="382"/>
      <c r="H62" s="381"/>
      <c r="I62" s="368"/>
      <c r="J62" s="368"/>
      <c r="K62" s="368"/>
      <c r="L62" s="382"/>
      <c r="M62" s="381"/>
      <c r="N62" s="368"/>
      <c r="O62" s="368"/>
      <c r="P62" s="368"/>
      <c r="Q62" s="382"/>
    </row>
    <row r="63" spans="3:17" x14ac:dyDescent="0.3">
      <c r="C63" s="381"/>
      <c r="D63" s="368"/>
      <c r="E63" s="368"/>
      <c r="F63" s="368"/>
      <c r="G63" s="382"/>
      <c r="H63" s="381"/>
      <c r="I63" s="368"/>
      <c r="J63" s="368"/>
      <c r="K63" s="368"/>
      <c r="L63" s="382"/>
      <c r="M63" s="381"/>
      <c r="N63" s="368"/>
      <c r="O63" s="368"/>
      <c r="P63" s="368"/>
      <c r="Q63" s="382"/>
    </row>
    <row r="64" spans="3:17" x14ac:dyDescent="0.3">
      <c r="C64" s="381"/>
      <c r="D64" s="368"/>
      <c r="E64" s="368"/>
      <c r="F64" s="368"/>
      <c r="G64" s="382"/>
      <c r="H64" s="381"/>
      <c r="I64" s="368"/>
      <c r="J64" s="368"/>
      <c r="K64" s="368"/>
      <c r="L64" s="382"/>
      <c r="M64" s="381"/>
      <c r="N64" s="368"/>
      <c r="O64" s="368"/>
      <c r="P64" s="368"/>
      <c r="Q64" s="382"/>
    </row>
    <row r="65" spans="3:17" x14ac:dyDescent="0.3">
      <c r="C65" s="381"/>
      <c r="D65" s="368"/>
      <c r="E65" s="368"/>
      <c r="F65" s="368"/>
      <c r="G65" s="382"/>
      <c r="H65" s="381"/>
      <c r="I65" s="368"/>
      <c r="J65" s="368"/>
      <c r="K65" s="368"/>
      <c r="L65" s="382"/>
      <c r="M65" s="381"/>
      <c r="N65" s="368"/>
      <c r="O65" s="368"/>
      <c r="P65" s="368"/>
      <c r="Q65" s="382"/>
    </row>
    <row r="66" spans="3:17" x14ac:dyDescent="0.3">
      <c r="C66" s="381"/>
      <c r="D66" s="368"/>
      <c r="E66" s="368"/>
      <c r="F66" s="368"/>
      <c r="G66" s="382"/>
      <c r="H66" s="381"/>
      <c r="I66" s="368"/>
      <c r="J66" s="368"/>
      <c r="K66" s="368"/>
      <c r="L66" s="382"/>
      <c r="M66" s="381"/>
      <c r="N66" s="368"/>
      <c r="O66" s="368"/>
      <c r="P66" s="368"/>
      <c r="Q66" s="382"/>
    </row>
    <row r="67" spans="3:17" x14ac:dyDescent="0.3">
      <c r="C67" s="381"/>
      <c r="D67" s="368"/>
      <c r="E67" s="368"/>
      <c r="F67" s="368"/>
      <c r="G67" s="382"/>
      <c r="H67" s="381"/>
      <c r="I67" s="368"/>
      <c r="J67" s="368"/>
      <c r="K67" s="368"/>
      <c r="L67" s="382"/>
      <c r="M67" s="381"/>
      <c r="N67" s="368"/>
      <c r="O67" s="368"/>
      <c r="P67" s="368"/>
      <c r="Q67" s="382"/>
    </row>
    <row r="68" spans="3:17" x14ac:dyDescent="0.3">
      <c r="C68" s="383"/>
      <c r="D68" s="384"/>
      <c r="E68" s="384"/>
      <c r="F68" s="384"/>
      <c r="G68" s="385"/>
      <c r="H68" s="383"/>
      <c r="I68" s="384"/>
      <c r="J68" s="384"/>
      <c r="K68" s="384"/>
      <c r="L68" s="385"/>
      <c r="M68" s="383"/>
      <c r="N68" s="384"/>
      <c r="O68" s="384"/>
      <c r="P68" s="384"/>
      <c r="Q68" s="385"/>
    </row>
    <row r="69" spans="3:17" x14ac:dyDescent="0.3">
      <c r="C69" s="389"/>
      <c r="D69" s="389"/>
      <c r="E69" s="389"/>
      <c r="F69" s="389"/>
      <c r="G69" s="389"/>
      <c r="H69" s="389"/>
      <c r="I69" s="389"/>
      <c r="J69" s="389"/>
      <c r="K69" s="389"/>
      <c r="L69" s="389"/>
      <c r="M69" s="389"/>
      <c r="N69" s="389"/>
      <c r="O69" s="389"/>
      <c r="P69" s="389"/>
      <c r="Q69" s="389"/>
    </row>
    <row r="70" spans="3:17" x14ac:dyDescent="0.3">
      <c r="C70" s="85"/>
      <c r="D70" s="85"/>
      <c r="E70" s="85"/>
      <c r="F70" s="85"/>
      <c r="G70" s="85"/>
      <c r="H70" s="85"/>
      <c r="I70" s="85"/>
      <c r="J70" s="85"/>
      <c r="K70" s="85"/>
      <c r="L70" s="85"/>
      <c r="M70" s="85"/>
      <c r="N70" s="85"/>
      <c r="O70" s="85"/>
      <c r="P70" s="85"/>
      <c r="Q70" s="85"/>
    </row>
    <row r="71" spans="3:17" x14ac:dyDescent="0.3">
      <c r="C71" s="85"/>
      <c r="D71" s="85"/>
      <c r="E71" s="85"/>
      <c r="F71" s="85"/>
      <c r="G71" s="85"/>
      <c r="H71" s="85"/>
      <c r="I71" s="85"/>
      <c r="J71" s="85"/>
      <c r="K71" s="85"/>
      <c r="L71" s="85"/>
      <c r="M71" s="85"/>
      <c r="N71" s="85"/>
      <c r="O71" s="85"/>
      <c r="P71" s="85"/>
      <c r="Q71" s="85"/>
    </row>
    <row r="72" spans="3:17" x14ac:dyDescent="0.3">
      <c r="C72" s="381"/>
      <c r="D72" s="368"/>
      <c r="E72" s="368"/>
      <c r="F72" s="368"/>
      <c r="G72" s="382"/>
      <c r="H72" s="381"/>
      <c r="I72" s="368"/>
      <c r="J72" s="368"/>
      <c r="K72" s="368"/>
      <c r="L72" s="382"/>
      <c r="M72" s="381"/>
      <c r="N72" s="368"/>
      <c r="O72" s="368"/>
      <c r="P72" s="368"/>
      <c r="Q72" s="382"/>
    </row>
    <row r="73" spans="3:17" x14ac:dyDescent="0.3">
      <c r="C73" s="381"/>
      <c r="D73" s="368"/>
      <c r="E73" s="368"/>
      <c r="F73" s="368"/>
      <c r="G73" s="382"/>
      <c r="H73" s="381"/>
      <c r="I73" s="368"/>
      <c r="J73" s="368"/>
      <c r="K73" s="368"/>
      <c r="L73" s="382"/>
      <c r="M73" s="381"/>
      <c r="N73" s="368"/>
      <c r="O73" s="368"/>
      <c r="P73" s="368"/>
      <c r="Q73" s="382"/>
    </row>
    <row r="74" spans="3:17" x14ac:dyDescent="0.3">
      <c r="C74" s="381"/>
      <c r="D74" s="368"/>
      <c r="E74" s="368"/>
      <c r="F74" s="368"/>
      <c r="G74" s="382"/>
      <c r="H74" s="381"/>
      <c r="I74" s="368"/>
      <c r="J74" s="368"/>
      <c r="K74" s="368"/>
      <c r="L74" s="382"/>
      <c r="M74" s="381"/>
      <c r="N74" s="368"/>
      <c r="O74" s="368"/>
      <c r="P74" s="368"/>
      <c r="Q74" s="382"/>
    </row>
    <row r="75" spans="3:17" x14ac:dyDescent="0.3">
      <c r="C75" s="381"/>
      <c r="D75" s="368"/>
      <c r="E75" s="368"/>
      <c r="F75" s="368"/>
      <c r="G75" s="382"/>
      <c r="H75" s="381"/>
      <c r="I75" s="368"/>
      <c r="J75" s="368"/>
      <c r="K75" s="368"/>
      <c r="L75" s="382"/>
      <c r="M75" s="381"/>
      <c r="N75" s="368"/>
      <c r="O75" s="368"/>
      <c r="P75" s="368"/>
      <c r="Q75" s="382"/>
    </row>
    <row r="76" spans="3:17" x14ac:dyDescent="0.3">
      <c r="C76" s="381"/>
      <c r="D76" s="368"/>
      <c r="E76" s="368"/>
      <c r="F76" s="368"/>
      <c r="G76" s="382"/>
      <c r="H76" s="381"/>
      <c r="I76" s="368"/>
      <c r="J76" s="368"/>
      <c r="K76" s="368"/>
      <c r="L76" s="382"/>
      <c r="M76" s="381"/>
      <c r="N76" s="368"/>
      <c r="O76" s="368"/>
      <c r="P76" s="368"/>
      <c r="Q76" s="382"/>
    </row>
    <row r="77" spans="3:17" x14ac:dyDescent="0.3">
      <c r="C77" s="381"/>
      <c r="D77" s="368"/>
      <c r="E77" s="368"/>
      <c r="F77" s="368"/>
      <c r="G77" s="382"/>
      <c r="H77" s="381"/>
      <c r="I77" s="368"/>
      <c r="J77" s="368"/>
      <c r="K77" s="368"/>
      <c r="L77" s="382"/>
      <c r="M77" s="381"/>
      <c r="N77" s="368"/>
      <c r="O77" s="368"/>
      <c r="P77" s="368"/>
      <c r="Q77" s="382"/>
    </row>
    <row r="78" spans="3:17" x14ac:dyDescent="0.3">
      <c r="C78" s="381"/>
      <c r="D78" s="368"/>
      <c r="E78" s="368"/>
      <c r="F78" s="368"/>
      <c r="G78" s="382"/>
      <c r="H78" s="381"/>
      <c r="I78" s="368"/>
      <c r="J78" s="368"/>
      <c r="K78" s="368"/>
      <c r="L78" s="382"/>
      <c r="M78" s="381"/>
      <c r="N78" s="368"/>
      <c r="O78" s="368"/>
      <c r="P78" s="368"/>
      <c r="Q78" s="382"/>
    </row>
    <row r="79" spans="3:17" x14ac:dyDescent="0.3">
      <c r="C79" s="381"/>
      <c r="D79" s="368"/>
      <c r="E79" s="368"/>
      <c r="F79" s="368"/>
      <c r="G79" s="382"/>
      <c r="H79" s="381"/>
      <c r="I79" s="368"/>
      <c r="J79" s="368"/>
      <c r="K79" s="368"/>
      <c r="L79" s="382"/>
      <c r="M79" s="381"/>
      <c r="N79" s="368"/>
      <c r="O79" s="368"/>
      <c r="P79" s="368"/>
      <c r="Q79" s="382"/>
    </row>
    <row r="80" spans="3:17" x14ac:dyDescent="0.3">
      <c r="C80" s="381"/>
      <c r="D80" s="368"/>
      <c r="E80" s="368"/>
      <c r="F80" s="368"/>
      <c r="G80" s="382"/>
      <c r="H80" s="381"/>
      <c r="I80" s="368"/>
      <c r="J80" s="368"/>
      <c r="K80" s="368"/>
      <c r="L80" s="382"/>
      <c r="M80" s="381"/>
      <c r="N80" s="368"/>
      <c r="O80" s="368"/>
      <c r="P80" s="368"/>
      <c r="Q80" s="382"/>
    </row>
    <row r="81" spans="3:17" x14ac:dyDescent="0.3">
      <c r="C81" s="381"/>
      <c r="D81" s="368"/>
      <c r="E81" s="368"/>
      <c r="F81" s="368"/>
      <c r="G81" s="382"/>
      <c r="H81" s="381"/>
      <c r="I81" s="368"/>
      <c r="J81" s="368"/>
      <c r="K81" s="368"/>
      <c r="L81" s="382"/>
      <c r="M81" s="381"/>
      <c r="N81" s="368"/>
      <c r="O81" s="368"/>
      <c r="P81" s="368"/>
      <c r="Q81" s="382"/>
    </row>
    <row r="82" spans="3:17" x14ac:dyDescent="0.3">
      <c r="C82" s="381"/>
      <c r="D82" s="368"/>
      <c r="E82" s="368"/>
      <c r="F82" s="368"/>
      <c r="G82" s="382"/>
      <c r="H82" s="381"/>
      <c r="I82" s="368"/>
      <c r="J82" s="368"/>
      <c r="K82" s="368"/>
      <c r="L82" s="382"/>
      <c r="M82" s="381"/>
      <c r="N82" s="368"/>
      <c r="O82" s="368"/>
      <c r="P82" s="368"/>
      <c r="Q82" s="382"/>
    </row>
    <row r="83" spans="3:17" x14ac:dyDescent="0.3">
      <c r="C83" s="381"/>
      <c r="D83" s="368"/>
      <c r="E83" s="368"/>
      <c r="F83" s="368"/>
      <c r="G83" s="382"/>
      <c r="H83" s="381"/>
      <c r="I83" s="368"/>
      <c r="J83" s="368"/>
      <c r="K83" s="368"/>
      <c r="L83" s="382"/>
      <c r="M83" s="381"/>
      <c r="N83" s="368"/>
      <c r="O83" s="368"/>
      <c r="P83" s="368"/>
      <c r="Q83" s="382"/>
    </row>
    <row r="84" spans="3:17" x14ac:dyDescent="0.3">
      <c r="C84" s="381"/>
      <c r="D84" s="368"/>
      <c r="E84" s="368"/>
      <c r="F84" s="368"/>
      <c r="G84" s="382"/>
      <c r="H84" s="381"/>
      <c r="I84" s="368"/>
      <c r="J84" s="368"/>
      <c r="K84" s="368"/>
      <c r="L84" s="382"/>
      <c r="M84" s="381"/>
      <c r="N84" s="368"/>
      <c r="O84" s="368"/>
      <c r="P84" s="368"/>
      <c r="Q84" s="382"/>
    </row>
    <row r="85" spans="3:17" x14ac:dyDescent="0.3">
      <c r="C85" s="381"/>
      <c r="D85" s="368"/>
      <c r="E85" s="368"/>
      <c r="F85" s="368"/>
      <c r="G85" s="382"/>
      <c r="H85" s="381"/>
      <c r="I85" s="368"/>
      <c r="J85" s="368"/>
      <c r="K85" s="368"/>
      <c r="L85" s="382"/>
      <c r="M85" s="381"/>
      <c r="N85" s="368"/>
      <c r="O85" s="368"/>
      <c r="P85" s="368"/>
      <c r="Q85" s="382"/>
    </row>
    <row r="86" spans="3:17" x14ac:dyDescent="0.3">
      <c r="C86" s="381"/>
      <c r="D86" s="368"/>
      <c r="E86" s="368"/>
      <c r="F86" s="368"/>
      <c r="G86" s="382"/>
      <c r="H86" s="381"/>
      <c r="I86" s="368"/>
      <c r="J86" s="368"/>
      <c r="K86" s="368"/>
      <c r="L86" s="382"/>
      <c r="M86" s="381"/>
      <c r="N86" s="368"/>
      <c r="O86" s="368"/>
      <c r="P86" s="368"/>
      <c r="Q86" s="382"/>
    </row>
    <row r="87" spans="3:17" x14ac:dyDescent="0.3">
      <c r="C87" s="381"/>
      <c r="D87" s="368"/>
      <c r="E87" s="368"/>
      <c r="F87" s="368"/>
      <c r="G87" s="382"/>
      <c r="H87" s="381"/>
      <c r="I87" s="368"/>
      <c r="J87" s="368"/>
      <c r="K87" s="368"/>
      <c r="L87" s="382"/>
      <c r="M87" s="381"/>
      <c r="N87" s="368"/>
      <c r="O87" s="368"/>
      <c r="P87" s="368"/>
      <c r="Q87" s="382"/>
    </row>
    <row r="88" spans="3:17" x14ac:dyDescent="0.3">
      <c r="C88" s="381"/>
      <c r="D88" s="368"/>
      <c r="E88" s="368"/>
      <c r="F88" s="368"/>
      <c r="G88" s="382"/>
      <c r="H88" s="381"/>
      <c r="I88" s="368"/>
      <c r="J88" s="368"/>
      <c r="K88" s="368"/>
      <c r="L88" s="382"/>
      <c r="M88" s="381"/>
      <c r="N88" s="368"/>
      <c r="O88" s="368"/>
      <c r="P88" s="368"/>
      <c r="Q88" s="382"/>
    </row>
    <row r="89" spans="3:17" x14ac:dyDescent="0.3">
      <c r="C89" s="381"/>
      <c r="D89" s="368"/>
      <c r="E89" s="368"/>
      <c r="F89" s="368"/>
      <c r="G89" s="382"/>
      <c r="H89" s="381"/>
      <c r="I89" s="368"/>
      <c r="J89" s="368"/>
      <c r="K89" s="368"/>
      <c r="L89" s="382"/>
      <c r="M89" s="381"/>
      <c r="N89" s="368"/>
      <c r="O89" s="368"/>
      <c r="P89" s="368"/>
      <c r="Q89" s="382"/>
    </row>
    <row r="90" spans="3:17" x14ac:dyDescent="0.3">
      <c r="C90" s="381"/>
      <c r="D90" s="368"/>
      <c r="E90" s="368"/>
      <c r="F90" s="368"/>
      <c r="G90" s="382"/>
      <c r="H90" s="381"/>
      <c r="I90" s="368"/>
      <c r="J90" s="368"/>
      <c r="K90" s="368"/>
      <c r="L90" s="382"/>
      <c r="M90" s="381"/>
      <c r="N90" s="368"/>
      <c r="O90" s="368"/>
      <c r="P90" s="368"/>
      <c r="Q90" s="382"/>
    </row>
    <row r="91" spans="3:17" x14ac:dyDescent="0.3">
      <c r="C91" s="383"/>
      <c r="D91" s="384"/>
      <c r="E91" s="384"/>
      <c r="F91" s="384"/>
      <c r="G91" s="385"/>
      <c r="H91" s="383"/>
      <c r="I91" s="384"/>
      <c r="J91" s="384"/>
      <c r="K91" s="384"/>
      <c r="L91" s="385"/>
      <c r="M91" s="383"/>
      <c r="N91" s="384"/>
      <c r="O91" s="384"/>
      <c r="P91" s="384"/>
      <c r="Q91" s="385"/>
    </row>
    <row r="92" spans="3:17" x14ac:dyDescent="0.3">
      <c r="C92" s="386"/>
      <c r="D92" s="387"/>
      <c r="E92" s="387"/>
      <c r="F92" s="387"/>
      <c r="G92" s="388"/>
      <c r="H92" s="386"/>
      <c r="I92" s="387"/>
      <c r="J92" s="387"/>
      <c r="K92" s="387"/>
      <c r="L92" s="388"/>
      <c r="M92" s="386"/>
      <c r="N92" s="387"/>
      <c r="O92" s="387"/>
      <c r="P92" s="387"/>
      <c r="Q92" s="388"/>
    </row>
    <row r="93" spans="3:17" x14ac:dyDescent="0.3">
      <c r="C93" s="378"/>
      <c r="D93" s="379"/>
      <c r="E93" s="379"/>
      <c r="F93" s="379"/>
      <c r="G93" s="380"/>
      <c r="H93" s="378"/>
      <c r="I93" s="379"/>
      <c r="J93" s="379"/>
      <c r="K93" s="379"/>
      <c r="L93" s="380"/>
      <c r="M93" s="378"/>
      <c r="N93" s="379"/>
      <c r="O93" s="379"/>
      <c r="P93" s="379"/>
      <c r="Q93" s="380"/>
    </row>
    <row r="94" spans="3:17" x14ac:dyDescent="0.3">
      <c r="C94" s="381"/>
      <c r="D94" s="368"/>
      <c r="E94" s="368"/>
      <c r="F94" s="368"/>
      <c r="G94" s="382"/>
      <c r="H94" s="381"/>
      <c r="I94" s="368"/>
      <c r="J94" s="368"/>
      <c r="K94" s="368"/>
      <c r="L94" s="382"/>
      <c r="M94" s="381"/>
      <c r="N94" s="368"/>
      <c r="O94" s="368"/>
      <c r="P94" s="368"/>
      <c r="Q94" s="382"/>
    </row>
    <row r="95" spans="3:17" x14ac:dyDescent="0.3">
      <c r="C95" s="381"/>
      <c r="D95" s="368"/>
      <c r="E95" s="368"/>
      <c r="F95" s="368"/>
      <c r="G95" s="382"/>
      <c r="H95" s="381"/>
      <c r="I95" s="368"/>
      <c r="J95" s="368"/>
      <c r="K95" s="368"/>
      <c r="L95" s="382"/>
      <c r="M95" s="381"/>
      <c r="N95" s="368"/>
      <c r="O95" s="368"/>
      <c r="P95" s="368"/>
      <c r="Q95" s="382"/>
    </row>
    <row r="96" spans="3:17" x14ac:dyDescent="0.3">
      <c r="C96" s="381"/>
      <c r="D96" s="368"/>
      <c r="E96" s="368"/>
      <c r="F96" s="368"/>
      <c r="G96" s="382"/>
      <c r="H96" s="381"/>
      <c r="I96" s="368"/>
      <c r="J96" s="368"/>
      <c r="K96" s="368"/>
      <c r="L96" s="382"/>
      <c r="M96" s="381"/>
      <c r="N96" s="368"/>
      <c r="O96" s="368"/>
      <c r="P96" s="368"/>
      <c r="Q96" s="382"/>
    </row>
    <row r="97" spans="3:17" x14ac:dyDescent="0.3">
      <c r="C97" s="381"/>
      <c r="D97" s="368"/>
      <c r="E97" s="368"/>
      <c r="F97" s="368"/>
      <c r="G97" s="382"/>
      <c r="H97" s="381"/>
      <c r="I97" s="368"/>
      <c r="J97" s="368"/>
      <c r="K97" s="368"/>
      <c r="L97" s="382"/>
      <c r="M97" s="381"/>
      <c r="N97" s="368"/>
      <c r="O97" s="368"/>
      <c r="P97" s="368"/>
      <c r="Q97" s="382"/>
    </row>
    <row r="98" spans="3:17" x14ac:dyDescent="0.3">
      <c r="C98" s="381"/>
      <c r="D98" s="368"/>
      <c r="E98" s="368"/>
      <c r="F98" s="368"/>
      <c r="G98" s="382"/>
      <c r="H98" s="381"/>
      <c r="I98" s="368"/>
      <c r="J98" s="368"/>
      <c r="K98" s="368"/>
      <c r="L98" s="382"/>
      <c r="M98" s="381"/>
      <c r="N98" s="368"/>
      <c r="O98" s="368"/>
      <c r="P98" s="368"/>
      <c r="Q98" s="382"/>
    </row>
    <row r="99" spans="3:17" x14ac:dyDescent="0.3">
      <c r="C99" s="381"/>
      <c r="D99" s="368"/>
      <c r="E99" s="368"/>
      <c r="F99" s="368"/>
      <c r="G99" s="382"/>
      <c r="H99" s="381"/>
      <c r="I99" s="368"/>
      <c r="J99" s="368"/>
      <c r="K99" s="368"/>
      <c r="L99" s="382"/>
      <c r="M99" s="381"/>
      <c r="N99" s="368"/>
      <c r="O99" s="368"/>
      <c r="P99" s="368"/>
      <c r="Q99" s="382"/>
    </row>
    <row r="100" spans="3:17" x14ac:dyDescent="0.3">
      <c r="C100" s="381"/>
      <c r="D100" s="368"/>
      <c r="E100" s="368"/>
      <c r="F100" s="368"/>
      <c r="G100" s="382"/>
      <c r="H100" s="381"/>
      <c r="I100" s="368"/>
      <c r="J100" s="368"/>
      <c r="K100" s="368"/>
      <c r="L100" s="382"/>
      <c r="M100" s="381"/>
      <c r="N100" s="368"/>
      <c r="O100" s="368"/>
      <c r="P100" s="368"/>
      <c r="Q100" s="382"/>
    </row>
    <row r="101" spans="3:17" x14ac:dyDescent="0.3">
      <c r="C101" s="381"/>
      <c r="D101" s="368"/>
      <c r="E101" s="368"/>
      <c r="F101" s="368"/>
      <c r="G101" s="382"/>
      <c r="H101" s="381"/>
      <c r="I101" s="368"/>
      <c r="J101" s="368"/>
      <c r="K101" s="368"/>
      <c r="L101" s="382"/>
      <c r="M101" s="381"/>
      <c r="N101" s="368"/>
      <c r="O101" s="368"/>
      <c r="P101" s="368"/>
      <c r="Q101" s="382"/>
    </row>
    <row r="102" spans="3:17" x14ac:dyDescent="0.3">
      <c r="C102" s="381"/>
      <c r="D102" s="368"/>
      <c r="E102" s="368"/>
      <c r="F102" s="368"/>
      <c r="G102" s="382"/>
      <c r="H102" s="381"/>
      <c r="I102" s="368"/>
      <c r="J102" s="368"/>
      <c r="K102" s="368"/>
      <c r="L102" s="382"/>
      <c r="M102" s="381"/>
      <c r="N102" s="368"/>
      <c r="O102" s="368"/>
      <c r="P102" s="368"/>
      <c r="Q102" s="382"/>
    </row>
    <row r="103" spans="3:17" x14ac:dyDescent="0.3">
      <c r="C103" s="381"/>
      <c r="D103" s="368"/>
      <c r="E103" s="368"/>
      <c r="F103" s="368"/>
      <c r="G103" s="382"/>
      <c r="H103" s="381"/>
      <c r="I103" s="368"/>
      <c r="J103" s="368"/>
      <c r="K103" s="368"/>
      <c r="L103" s="382"/>
      <c r="M103" s="381"/>
      <c r="N103" s="368"/>
      <c r="O103" s="368"/>
      <c r="P103" s="368"/>
      <c r="Q103" s="382"/>
    </row>
    <row r="104" spans="3:17" x14ac:dyDescent="0.3">
      <c r="C104" s="381"/>
      <c r="D104" s="368"/>
      <c r="E104" s="368"/>
      <c r="F104" s="368"/>
      <c r="G104" s="382"/>
      <c r="H104" s="381"/>
      <c r="I104" s="368"/>
      <c r="J104" s="368"/>
      <c r="K104" s="368"/>
      <c r="L104" s="382"/>
      <c r="M104" s="381"/>
      <c r="N104" s="368"/>
      <c r="O104" s="368"/>
      <c r="P104" s="368"/>
      <c r="Q104" s="382"/>
    </row>
    <row r="105" spans="3:17" x14ac:dyDescent="0.3">
      <c r="C105" s="381"/>
      <c r="D105" s="368"/>
      <c r="E105" s="368"/>
      <c r="F105" s="368"/>
      <c r="G105" s="382"/>
      <c r="H105" s="381"/>
      <c r="I105" s="368"/>
      <c r="J105" s="368"/>
      <c r="K105" s="368"/>
      <c r="L105" s="382"/>
      <c r="M105" s="381"/>
      <c r="N105" s="368"/>
      <c r="O105" s="368"/>
      <c r="P105" s="368"/>
      <c r="Q105" s="382"/>
    </row>
    <row r="106" spans="3:17" x14ac:dyDescent="0.3">
      <c r="C106" s="381"/>
      <c r="D106" s="368"/>
      <c r="E106" s="368"/>
      <c r="F106" s="368"/>
      <c r="G106" s="382"/>
      <c r="H106" s="381"/>
      <c r="I106" s="368"/>
      <c r="J106" s="368"/>
      <c r="K106" s="368"/>
      <c r="L106" s="382"/>
      <c r="M106" s="381"/>
      <c r="N106" s="368"/>
      <c r="O106" s="368"/>
      <c r="P106" s="368"/>
      <c r="Q106" s="382"/>
    </row>
    <row r="107" spans="3:17" x14ac:dyDescent="0.3">
      <c r="C107" s="381"/>
      <c r="D107" s="368"/>
      <c r="E107" s="368"/>
      <c r="F107" s="368"/>
      <c r="G107" s="382"/>
      <c r="H107" s="381"/>
      <c r="I107" s="368"/>
      <c r="J107" s="368"/>
      <c r="K107" s="368"/>
      <c r="L107" s="382"/>
      <c r="M107" s="381"/>
      <c r="N107" s="368"/>
      <c r="O107" s="368"/>
      <c r="P107" s="368"/>
      <c r="Q107" s="382"/>
    </row>
    <row r="108" spans="3:17" x14ac:dyDescent="0.3">
      <c r="C108" s="381"/>
      <c r="D108" s="368"/>
      <c r="E108" s="368"/>
      <c r="F108" s="368"/>
      <c r="G108" s="382"/>
      <c r="H108" s="381"/>
      <c r="I108" s="368"/>
      <c r="J108" s="368"/>
      <c r="K108" s="368"/>
      <c r="L108" s="382"/>
      <c r="M108" s="381"/>
      <c r="N108" s="368"/>
      <c r="O108" s="368"/>
      <c r="P108" s="368"/>
      <c r="Q108" s="382"/>
    </row>
    <row r="109" spans="3:17" x14ac:dyDescent="0.3">
      <c r="C109" s="381"/>
      <c r="D109" s="368"/>
      <c r="E109" s="368"/>
      <c r="F109" s="368"/>
      <c r="G109" s="382"/>
      <c r="H109" s="381"/>
      <c r="I109" s="368"/>
      <c r="J109" s="368"/>
      <c r="K109" s="368"/>
      <c r="L109" s="382"/>
      <c r="M109" s="381"/>
      <c r="N109" s="368"/>
      <c r="O109" s="368"/>
      <c r="P109" s="368"/>
      <c r="Q109" s="382"/>
    </row>
    <row r="110" spans="3:17" x14ac:dyDescent="0.3">
      <c r="C110" s="381"/>
      <c r="D110" s="368"/>
      <c r="E110" s="368"/>
      <c r="F110" s="368"/>
      <c r="G110" s="382"/>
      <c r="H110" s="381"/>
      <c r="I110" s="368"/>
      <c r="J110" s="368"/>
      <c r="K110" s="368"/>
      <c r="L110" s="382"/>
      <c r="M110" s="381"/>
      <c r="N110" s="368"/>
      <c r="O110" s="368"/>
      <c r="P110" s="368"/>
      <c r="Q110" s="382"/>
    </row>
    <row r="111" spans="3:17" x14ac:dyDescent="0.3">
      <c r="C111" s="381"/>
      <c r="D111" s="368"/>
      <c r="E111" s="368"/>
      <c r="F111" s="368"/>
      <c r="G111" s="382"/>
      <c r="H111" s="381"/>
      <c r="I111" s="368"/>
      <c r="J111" s="368"/>
      <c r="K111" s="368"/>
      <c r="L111" s="382"/>
      <c r="M111" s="381"/>
      <c r="N111" s="368"/>
      <c r="O111" s="368"/>
      <c r="P111" s="368"/>
      <c r="Q111" s="382"/>
    </row>
    <row r="112" spans="3:17" x14ac:dyDescent="0.3">
      <c r="C112" s="383"/>
      <c r="D112" s="384"/>
      <c r="E112" s="384"/>
      <c r="F112" s="384"/>
      <c r="G112" s="385"/>
      <c r="H112" s="383"/>
      <c r="I112" s="384"/>
      <c r="J112" s="384"/>
      <c r="K112" s="384"/>
      <c r="L112" s="385"/>
      <c r="M112" s="383"/>
      <c r="N112" s="384"/>
      <c r="O112" s="384"/>
      <c r="P112" s="384"/>
      <c r="Q112" s="385"/>
    </row>
    <row r="113" spans="3:17" x14ac:dyDescent="0.3">
      <c r="C113" s="386"/>
      <c r="D113" s="387"/>
      <c r="E113" s="387"/>
      <c r="F113" s="387"/>
      <c r="G113" s="388"/>
      <c r="H113" s="386"/>
      <c r="I113" s="387"/>
      <c r="J113" s="387"/>
      <c r="K113" s="387"/>
      <c r="L113" s="388"/>
      <c r="M113" s="386"/>
      <c r="N113" s="387"/>
      <c r="O113" s="387"/>
      <c r="P113" s="387"/>
      <c r="Q113" s="388"/>
    </row>
    <row r="114" spans="3:17" x14ac:dyDescent="0.3">
      <c r="C114" s="378"/>
      <c r="D114" s="379"/>
      <c r="E114" s="379"/>
      <c r="F114" s="379"/>
      <c r="G114" s="380"/>
      <c r="H114" s="378"/>
      <c r="I114" s="379"/>
      <c r="J114" s="379"/>
      <c r="K114" s="379"/>
      <c r="L114" s="380"/>
      <c r="M114" s="378"/>
      <c r="N114" s="379"/>
      <c r="O114" s="379"/>
      <c r="P114" s="379"/>
      <c r="Q114" s="380"/>
    </row>
    <row r="115" spans="3:17" x14ac:dyDescent="0.3">
      <c r="C115" s="381"/>
      <c r="D115" s="368"/>
      <c r="E115" s="368"/>
      <c r="F115" s="368"/>
      <c r="G115" s="382"/>
      <c r="H115" s="381"/>
      <c r="I115" s="368"/>
      <c r="J115" s="368"/>
      <c r="K115" s="368"/>
      <c r="L115" s="382"/>
      <c r="M115" s="381"/>
      <c r="N115" s="368"/>
      <c r="O115" s="368"/>
      <c r="P115" s="368"/>
      <c r="Q115" s="382"/>
    </row>
    <row r="116" spans="3:17" x14ac:dyDescent="0.3">
      <c r="C116" s="381"/>
      <c r="D116" s="368"/>
      <c r="E116" s="368"/>
      <c r="F116" s="368"/>
      <c r="G116" s="382"/>
      <c r="H116" s="381"/>
      <c r="I116" s="368"/>
      <c r="J116" s="368"/>
      <c r="K116" s="368"/>
      <c r="L116" s="382"/>
      <c r="M116" s="381"/>
      <c r="N116" s="368"/>
      <c r="O116" s="368"/>
      <c r="P116" s="368"/>
      <c r="Q116" s="382"/>
    </row>
    <row r="117" spans="3:17" x14ac:dyDescent="0.3">
      <c r="C117" s="381"/>
      <c r="D117" s="368"/>
      <c r="E117" s="368"/>
      <c r="F117" s="368"/>
      <c r="G117" s="382"/>
      <c r="H117" s="381"/>
      <c r="I117" s="368"/>
      <c r="J117" s="368"/>
      <c r="K117" s="368"/>
      <c r="L117" s="382"/>
      <c r="M117" s="381"/>
      <c r="N117" s="368"/>
      <c r="O117" s="368"/>
      <c r="P117" s="368"/>
      <c r="Q117" s="382"/>
    </row>
    <row r="118" spans="3:17" x14ac:dyDescent="0.3">
      <c r="C118" s="381"/>
      <c r="D118" s="368"/>
      <c r="E118" s="368"/>
      <c r="F118" s="368"/>
      <c r="G118" s="382"/>
      <c r="H118" s="381"/>
      <c r="I118" s="368"/>
      <c r="J118" s="368"/>
      <c r="K118" s="368"/>
      <c r="L118" s="382"/>
      <c r="M118" s="381"/>
      <c r="N118" s="368"/>
      <c r="O118" s="368"/>
      <c r="P118" s="368"/>
      <c r="Q118" s="382"/>
    </row>
    <row r="119" spans="3:17" x14ac:dyDescent="0.3">
      <c r="C119" s="381"/>
      <c r="D119" s="368"/>
      <c r="E119" s="368"/>
      <c r="F119" s="368"/>
      <c r="G119" s="382"/>
      <c r="H119" s="381"/>
      <c r="I119" s="368"/>
      <c r="J119" s="368"/>
      <c r="K119" s="368"/>
      <c r="L119" s="382"/>
      <c r="M119" s="381"/>
      <c r="N119" s="368"/>
      <c r="O119" s="368"/>
      <c r="P119" s="368"/>
      <c r="Q119" s="382"/>
    </row>
    <row r="120" spans="3:17" x14ac:dyDescent="0.3">
      <c r="C120" s="381"/>
      <c r="D120" s="368"/>
      <c r="E120" s="368"/>
      <c r="F120" s="368"/>
      <c r="G120" s="382"/>
      <c r="H120" s="381"/>
      <c r="I120" s="368"/>
      <c r="J120" s="368"/>
      <c r="K120" s="368"/>
      <c r="L120" s="382"/>
      <c r="M120" s="381"/>
      <c r="N120" s="368"/>
      <c r="O120" s="368"/>
      <c r="P120" s="368"/>
      <c r="Q120" s="382"/>
    </row>
    <row r="121" spans="3:17" x14ac:dyDescent="0.3">
      <c r="C121" s="381"/>
      <c r="D121" s="368"/>
      <c r="E121" s="368"/>
      <c r="F121" s="368"/>
      <c r="G121" s="382"/>
      <c r="H121" s="381"/>
      <c r="I121" s="368"/>
      <c r="J121" s="368"/>
      <c r="K121" s="368"/>
      <c r="L121" s="382"/>
      <c r="M121" s="381"/>
      <c r="N121" s="368"/>
      <c r="O121" s="368"/>
      <c r="P121" s="368"/>
      <c r="Q121" s="382"/>
    </row>
    <row r="122" spans="3:17" x14ac:dyDescent="0.3">
      <c r="C122" s="381"/>
      <c r="D122" s="368"/>
      <c r="E122" s="368"/>
      <c r="F122" s="368"/>
      <c r="G122" s="382"/>
      <c r="H122" s="381"/>
      <c r="I122" s="368"/>
      <c r="J122" s="368"/>
      <c r="K122" s="368"/>
      <c r="L122" s="382"/>
      <c r="M122" s="381"/>
      <c r="N122" s="368"/>
      <c r="O122" s="368"/>
      <c r="P122" s="368"/>
      <c r="Q122" s="382"/>
    </row>
    <row r="123" spans="3:17" x14ac:dyDescent="0.3">
      <c r="C123" s="381"/>
      <c r="D123" s="368"/>
      <c r="E123" s="368"/>
      <c r="F123" s="368"/>
      <c r="G123" s="382"/>
      <c r="H123" s="381"/>
      <c r="I123" s="368"/>
      <c r="J123" s="368"/>
      <c r="K123" s="368"/>
      <c r="L123" s="382"/>
      <c r="M123" s="381"/>
      <c r="N123" s="368"/>
      <c r="O123" s="368"/>
      <c r="P123" s="368"/>
      <c r="Q123" s="382"/>
    </row>
    <row r="124" spans="3:17" x14ac:dyDescent="0.3">
      <c r="C124" s="381"/>
      <c r="D124" s="368"/>
      <c r="E124" s="368"/>
      <c r="F124" s="368"/>
      <c r="G124" s="382"/>
      <c r="H124" s="381"/>
      <c r="I124" s="368"/>
      <c r="J124" s="368"/>
      <c r="K124" s="368"/>
      <c r="L124" s="382"/>
      <c r="M124" s="381"/>
      <c r="N124" s="368"/>
      <c r="O124" s="368"/>
      <c r="P124" s="368"/>
      <c r="Q124" s="382"/>
    </row>
    <row r="125" spans="3:17" x14ac:dyDescent="0.3">
      <c r="C125" s="381"/>
      <c r="D125" s="368"/>
      <c r="E125" s="368"/>
      <c r="F125" s="368"/>
      <c r="G125" s="382"/>
      <c r="H125" s="381"/>
      <c r="I125" s="368"/>
      <c r="J125" s="368"/>
      <c r="K125" s="368"/>
      <c r="L125" s="382"/>
      <c r="M125" s="381"/>
      <c r="N125" s="368"/>
      <c r="O125" s="368"/>
      <c r="P125" s="368"/>
      <c r="Q125" s="382"/>
    </row>
    <row r="126" spans="3:17" x14ac:dyDescent="0.3">
      <c r="C126" s="381"/>
      <c r="D126" s="368"/>
      <c r="E126" s="368"/>
      <c r="F126" s="368"/>
      <c r="G126" s="382"/>
      <c r="H126" s="381"/>
      <c r="I126" s="368"/>
      <c r="J126" s="368"/>
      <c r="K126" s="368"/>
      <c r="L126" s="382"/>
      <c r="M126" s="381"/>
      <c r="N126" s="368"/>
      <c r="O126" s="368"/>
      <c r="P126" s="368"/>
      <c r="Q126" s="382"/>
    </row>
    <row r="127" spans="3:17" x14ac:dyDescent="0.3">
      <c r="C127" s="381"/>
      <c r="D127" s="368"/>
      <c r="E127" s="368"/>
      <c r="F127" s="368"/>
      <c r="G127" s="382"/>
      <c r="H127" s="381"/>
      <c r="I127" s="368"/>
      <c r="J127" s="368"/>
      <c r="K127" s="368"/>
      <c r="L127" s="382"/>
      <c r="M127" s="381"/>
      <c r="N127" s="368"/>
      <c r="O127" s="368"/>
      <c r="P127" s="368"/>
      <c r="Q127" s="382"/>
    </row>
    <row r="128" spans="3:17" x14ac:dyDescent="0.3">
      <c r="C128" s="381"/>
      <c r="D128" s="368"/>
      <c r="E128" s="368"/>
      <c r="F128" s="368"/>
      <c r="G128" s="382"/>
      <c r="H128" s="381"/>
      <c r="I128" s="368"/>
      <c r="J128" s="368"/>
      <c r="K128" s="368"/>
      <c r="L128" s="382"/>
      <c r="M128" s="381"/>
      <c r="N128" s="368"/>
      <c r="O128" s="368"/>
      <c r="P128" s="368"/>
      <c r="Q128" s="382"/>
    </row>
    <row r="129" spans="3:17" x14ac:dyDescent="0.3">
      <c r="C129" s="381"/>
      <c r="D129" s="368"/>
      <c r="E129" s="368"/>
      <c r="F129" s="368"/>
      <c r="G129" s="382"/>
      <c r="H129" s="381"/>
      <c r="I129" s="368"/>
      <c r="J129" s="368"/>
      <c r="K129" s="368"/>
      <c r="L129" s="382"/>
      <c r="M129" s="381"/>
      <c r="N129" s="368"/>
      <c r="O129" s="368"/>
      <c r="P129" s="368"/>
      <c r="Q129" s="382"/>
    </row>
    <row r="130" spans="3:17" x14ac:dyDescent="0.3">
      <c r="C130" s="381"/>
      <c r="D130" s="368"/>
      <c r="E130" s="368"/>
      <c r="F130" s="368"/>
      <c r="G130" s="382"/>
      <c r="H130" s="381"/>
      <c r="I130" s="368"/>
      <c r="J130" s="368"/>
      <c r="K130" s="368"/>
      <c r="L130" s="382"/>
      <c r="M130" s="381"/>
      <c r="N130" s="368"/>
      <c r="O130" s="368"/>
      <c r="P130" s="368"/>
      <c r="Q130" s="382"/>
    </row>
    <row r="131" spans="3:17" x14ac:dyDescent="0.3">
      <c r="C131" s="381"/>
      <c r="D131" s="368"/>
      <c r="E131" s="368"/>
      <c r="F131" s="368"/>
      <c r="G131" s="382"/>
      <c r="H131" s="381"/>
      <c r="I131" s="368"/>
      <c r="J131" s="368"/>
      <c r="K131" s="368"/>
      <c r="L131" s="382"/>
      <c r="M131" s="381"/>
      <c r="N131" s="368"/>
      <c r="O131" s="368"/>
      <c r="P131" s="368"/>
      <c r="Q131" s="382"/>
    </row>
    <row r="132" spans="3:17" x14ac:dyDescent="0.3">
      <c r="C132" s="381"/>
      <c r="D132" s="368"/>
      <c r="E132" s="368"/>
      <c r="F132" s="368"/>
      <c r="G132" s="382"/>
      <c r="H132" s="381"/>
      <c r="I132" s="368"/>
      <c r="J132" s="368"/>
      <c r="K132" s="368"/>
      <c r="L132" s="382"/>
      <c r="M132" s="381"/>
      <c r="N132" s="368"/>
      <c r="O132" s="368"/>
      <c r="P132" s="368"/>
      <c r="Q132" s="382"/>
    </row>
    <row r="133" spans="3:17" x14ac:dyDescent="0.3">
      <c r="C133" s="383"/>
      <c r="D133" s="384"/>
      <c r="E133" s="384"/>
      <c r="F133" s="384"/>
      <c r="G133" s="385"/>
      <c r="H133" s="383"/>
      <c r="I133" s="384"/>
      <c r="J133" s="384"/>
      <c r="K133" s="384"/>
      <c r="L133" s="385"/>
      <c r="M133" s="383"/>
      <c r="N133" s="384"/>
      <c r="O133" s="384"/>
      <c r="P133" s="384"/>
      <c r="Q133" s="385"/>
    </row>
    <row r="134" spans="3:17" x14ac:dyDescent="0.3">
      <c r="C134" s="386"/>
      <c r="D134" s="387"/>
      <c r="E134" s="387"/>
      <c r="F134" s="387"/>
      <c r="G134" s="388"/>
      <c r="H134" s="386"/>
      <c r="I134" s="387"/>
      <c r="J134" s="387"/>
      <c r="K134" s="387"/>
      <c r="L134" s="388"/>
      <c r="M134" s="386"/>
      <c r="N134" s="387"/>
      <c r="O134" s="387"/>
      <c r="P134" s="387"/>
      <c r="Q134" s="388"/>
    </row>
    <row r="135" spans="3:17" x14ac:dyDescent="0.3">
      <c r="C135" s="85"/>
      <c r="D135" s="85"/>
      <c r="E135" s="85"/>
      <c r="F135" s="85"/>
      <c r="G135" s="85"/>
      <c r="H135" s="85"/>
      <c r="I135" s="85"/>
      <c r="J135" s="85"/>
      <c r="K135" s="85"/>
      <c r="L135" s="85"/>
      <c r="M135" s="85"/>
      <c r="N135" s="85"/>
      <c r="O135" s="85"/>
      <c r="P135" s="85"/>
      <c r="Q135" s="85"/>
    </row>
    <row r="136" spans="3:17" x14ac:dyDescent="0.3"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</row>
    <row r="137" spans="3:17" x14ac:dyDescent="0.3">
      <c r="C137" s="378"/>
      <c r="D137" s="379"/>
      <c r="E137" s="379"/>
      <c r="F137" s="379"/>
      <c r="G137" s="380"/>
      <c r="H137" s="378"/>
      <c r="I137" s="379"/>
      <c r="J137" s="379"/>
      <c r="K137" s="379"/>
      <c r="L137" s="380"/>
      <c r="M137" s="378"/>
      <c r="N137" s="379"/>
      <c r="O137" s="379"/>
      <c r="P137" s="379"/>
      <c r="Q137" s="380"/>
    </row>
    <row r="138" spans="3:17" x14ac:dyDescent="0.3">
      <c r="C138" s="381"/>
      <c r="D138" s="368"/>
      <c r="E138" s="368"/>
      <c r="F138" s="368"/>
      <c r="G138" s="382"/>
      <c r="H138" s="381"/>
      <c r="I138" s="368"/>
      <c r="J138" s="368"/>
      <c r="K138" s="368"/>
      <c r="L138" s="382"/>
      <c r="M138" s="381"/>
      <c r="N138" s="368"/>
      <c r="O138" s="368"/>
      <c r="P138" s="368"/>
      <c r="Q138" s="382"/>
    </row>
    <row r="139" spans="3:17" x14ac:dyDescent="0.3">
      <c r="C139" s="381"/>
      <c r="D139" s="368"/>
      <c r="E139" s="368"/>
      <c r="F139" s="368"/>
      <c r="G139" s="382"/>
      <c r="H139" s="381"/>
      <c r="I139" s="368"/>
      <c r="J139" s="368"/>
      <c r="K139" s="368"/>
      <c r="L139" s="382"/>
      <c r="M139" s="381"/>
      <c r="N139" s="368"/>
      <c r="O139" s="368"/>
      <c r="P139" s="368"/>
      <c r="Q139" s="382"/>
    </row>
    <row r="140" spans="3:17" x14ac:dyDescent="0.3">
      <c r="C140" s="381"/>
      <c r="D140" s="368"/>
      <c r="E140" s="368"/>
      <c r="F140" s="368"/>
      <c r="G140" s="382"/>
      <c r="H140" s="381"/>
      <c r="I140" s="368"/>
      <c r="J140" s="368"/>
      <c r="K140" s="368"/>
      <c r="L140" s="382"/>
      <c r="M140" s="381"/>
      <c r="N140" s="368"/>
      <c r="O140" s="368"/>
      <c r="P140" s="368"/>
      <c r="Q140" s="382"/>
    </row>
    <row r="141" spans="3:17" x14ac:dyDescent="0.3">
      <c r="C141" s="381"/>
      <c r="D141" s="368"/>
      <c r="E141" s="368"/>
      <c r="F141" s="368"/>
      <c r="G141" s="382"/>
      <c r="H141" s="381"/>
      <c r="I141" s="368"/>
      <c r="J141" s="368"/>
      <c r="K141" s="368"/>
      <c r="L141" s="382"/>
      <c r="M141" s="381"/>
      <c r="N141" s="368"/>
      <c r="O141" s="368"/>
      <c r="P141" s="368"/>
      <c r="Q141" s="382"/>
    </row>
    <row r="142" spans="3:17" x14ac:dyDescent="0.3">
      <c r="C142" s="381"/>
      <c r="D142" s="368"/>
      <c r="E142" s="368"/>
      <c r="F142" s="368"/>
      <c r="G142" s="382"/>
      <c r="H142" s="381"/>
      <c r="I142" s="368"/>
      <c r="J142" s="368"/>
      <c r="K142" s="368"/>
      <c r="L142" s="382"/>
      <c r="M142" s="381"/>
      <c r="N142" s="368"/>
      <c r="O142" s="368"/>
      <c r="P142" s="368"/>
      <c r="Q142" s="382"/>
    </row>
    <row r="143" spans="3:17" x14ac:dyDescent="0.3">
      <c r="C143" s="381"/>
      <c r="D143" s="368"/>
      <c r="E143" s="368"/>
      <c r="F143" s="368"/>
      <c r="G143" s="382"/>
      <c r="H143" s="381"/>
      <c r="I143" s="368"/>
      <c r="J143" s="368"/>
      <c r="K143" s="368"/>
      <c r="L143" s="382"/>
      <c r="M143" s="381"/>
      <c r="N143" s="368"/>
      <c r="O143" s="368"/>
      <c r="P143" s="368"/>
      <c r="Q143" s="382"/>
    </row>
    <row r="144" spans="3:17" x14ac:dyDescent="0.3">
      <c r="C144" s="381"/>
      <c r="D144" s="368"/>
      <c r="E144" s="368"/>
      <c r="F144" s="368"/>
      <c r="G144" s="382"/>
      <c r="H144" s="381"/>
      <c r="I144" s="368"/>
      <c r="J144" s="368"/>
      <c r="K144" s="368"/>
      <c r="L144" s="382"/>
      <c r="M144" s="381"/>
      <c r="N144" s="368"/>
      <c r="O144" s="368"/>
      <c r="P144" s="368"/>
      <c r="Q144" s="382"/>
    </row>
    <row r="145" spans="3:17" x14ac:dyDescent="0.3">
      <c r="C145" s="381"/>
      <c r="D145" s="368"/>
      <c r="E145" s="368"/>
      <c r="F145" s="368"/>
      <c r="G145" s="382"/>
      <c r="H145" s="381"/>
      <c r="I145" s="368"/>
      <c r="J145" s="368"/>
      <c r="K145" s="368"/>
      <c r="L145" s="382"/>
      <c r="M145" s="381"/>
      <c r="N145" s="368"/>
      <c r="O145" s="368"/>
      <c r="P145" s="368"/>
      <c r="Q145" s="382"/>
    </row>
    <row r="146" spans="3:17" x14ac:dyDescent="0.3">
      <c r="C146" s="381"/>
      <c r="D146" s="368"/>
      <c r="E146" s="368"/>
      <c r="F146" s="368"/>
      <c r="G146" s="382"/>
      <c r="H146" s="381"/>
      <c r="I146" s="368"/>
      <c r="J146" s="368"/>
      <c r="K146" s="368"/>
      <c r="L146" s="382"/>
      <c r="M146" s="381"/>
      <c r="N146" s="368"/>
      <c r="O146" s="368"/>
      <c r="P146" s="368"/>
      <c r="Q146" s="382"/>
    </row>
    <row r="147" spans="3:17" x14ac:dyDescent="0.3">
      <c r="C147" s="381"/>
      <c r="D147" s="368"/>
      <c r="E147" s="368"/>
      <c r="F147" s="368"/>
      <c r="G147" s="382"/>
      <c r="H147" s="381"/>
      <c r="I147" s="368"/>
      <c r="J147" s="368"/>
      <c r="K147" s="368"/>
      <c r="L147" s="382"/>
      <c r="M147" s="381"/>
      <c r="N147" s="368"/>
      <c r="O147" s="368"/>
      <c r="P147" s="368"/>
      <c r="Q147" s="382"/>
    </row>
    <row r="148" spans="3:17" x14ac:dyDescent="0.3">
      <c r="C148" s="381"/>
      <c r="D148" s="368"/>
      <c r="E148" s="368"/>
      <c r="F148" s="368"/>
      <c r="G148" s="382"/>
      <c r="H148" s="381"/>
      <c r="I148" s="368"/>
      <c r="J148" s="368"/>
      <c r="K148" s="368"/>
      <c r="L148" s="382"/>
      <c r="M148" s="381"/>
      <c r="N148" s="368"/>
      <c r="O148" s="368"/>
      <c r="P148" s="368"/>
      <c r="Q148" s="382"/>
    </row>
    <row r="149" spans="3:17" x14ac:dyDescent="0.3">
      <c r="C149" s="381"/>
      <c r="D149" s="368"/>
      <c r="E149" s="368"/>
      <c r="F149" s="368"/>
      <c r="G149" s="382"/>
      <c r="H149" s="381"/>
      <c r="I149" s="368"/>
      <c r="J149" s="368"/>
      <c r="K149" s="368"/>
      <c r="L149" s="382"/>
      <c r="M149" s="381"/>
      <c r="N149" s="368"/>
      <c r="O149" s="368"/>
      <c r="P149" s="368"/>
      <c r="Q149" s="382"/>
    </row>
    <row r="150" spans="3:17" x14ac:dyDescent="0.3">
      <c r="C150" s="381"/>
      <c r="D150" s="368"/>
      <c r="E150" s="368"/>
      <c r="F150" s="368"/>
      <c r="G150" s="382"/>
      <c r="H150" s="381"/>
      <c r="I150" s="368"/>
      <c r="J150" s="368"/>
      <c r="K150" s="368"/>
      <c r="L150" s="382"/>
      <c r="M150" s="381"/>
      <c r="N150" s="368"/>
      <c r="O150" s="368"/>
      <c r="P150" s="368"/>
      <c r="Q150" s="382"/>
    </row>
    <row r="151" spans="3:17" x14ac:dyDescent="0.3">
      <c r="C151" s="381"/>
      <c r="D151" s="368"/>
      <c r="E151" s="368"/>
      <c r="F151" s="368"/>
      <c r="G151" s="382"/>
      <c r="H151" s="381"/>
      <c r="I151" s="368"/>
      <c r="J151" s="368"/>
      <c r="K151" s="368"/>
      <c r="L151" s="382"/>
      <c r="M151" s="381"/>
      <c r="N151" s="368"/>
      <c r="O151" s="368"/>
      <c r="P151" s="368"/>
      <c r="Q151" s="382"/>
    </row>
    <row r="152" spans="3:17" x14ac:dyDescent="0.3">
      <c r="C152" s="381"/>
      <c r="D152" s="368"/>
      <c r="E152" s="368"/>
      <c r="F152" s="368"/>
      <c r="G152" s="382"/>
      <c r="H152" s="381"/>
      <c r="I152" s="368"/>
      <c r="J152" s="368"/>
      <c r="K152" s="368"/>
      <c r="L152" s="382"/>
      <c r="M152" s="381"/>
      <c r="N152" s="368"/>
      <c r="O152" s="368"/>
      <c r="P152" s="368"/>
      <c r="Q152" s="382"/>
    </row>
    <row r="153" spans="3:17" x14ac:dyDescent="0.3">
      <c r="C153" s="381"/>
      <c r="D153" s="368"/>
      <c r="E153" s="368"/>
      <c r="F153" s="368"/>
      <c r="G153" s="382"/>
      <c r="H153" s="381"/>
      <c r="I153" s="368"/>
      <c r="J153" s="368"/>
      <c r="K153" s="368"/>
      <c r="L153" s="382"/>
      <c r="M153" s="381"/>
      <c r="N153" s="368"/>
      <c r="O153" s="368"/>
      <c r="P153" s="368"/>
      <c r="Q153" s="382"/>
    </row>
    <row r="154" spans="3:17" x14ac:dyDescent="0.3">
      <c r="C154" s="381"/>
      <c r="D154" s="368"/>
      <c r="E154" s="368"/>
      <c r="F154" s="368"/>
      <c r="G154" s="382"/>
      <c r="H154" s="381"/>
      <c r="I154" s="368"/>
      <c r="J154" s="368"/>
      <c r="K154" s="368"/>
      <c r="L154" s="382"/>
      <c r="M154" s="381"/>
      <c r="N154" s="368"/>
      <c r="O154" s="368"/>
      <c r="P154" s="368"/>
      <c r="Q154" s="382"/>
    </row>
    <row r="155" spans="3:17" x14ac:dyDescent="0.3">
      <c r="C155" s="381"/>
      <c r="D155" s="368"/>
      <c r="E155" s="368"/>
      <c r="F155" s="368"/>
      <c r="G155" s="382"/>
      <c r="H155" s="381"/>
      <c r="I155" s="368"/>
      <c r="J155" s="368"/>
      <c r="K155" s="368"/>
      <c r="L155" s="382"/>
      <c r="M155" s="381"/>
      <c r="N155" s="368"/>
      <c r="O155" s="368"/>
      <c r="P155" s="368"/>
      <c r="Q155" s="382"/>
    </row>
    <row r="156" spans="3:17" x14ac:dyDescent="0.3">
      <c r="C156" s="383"/>
      <c r="D156" s="384"/>
      <c r="E156" s="384"/>
      <c r="F156" s="384"/>
      <c r="G156" s="385"/>
      <c r="H156" s="383"/>
      <c r="I156" s="384"/>
      <c r="J156" s="384"/>
      <c r="K156" s="384"/>
      <c r="L156" s="385"/>
      <c r="M156" s="383"/>
      <c r="N156" s="384"/>
      <c r="O156" s="384"/>
      <c r="P156" s="384"/>
      <c r="Q156" s="385"/>
    </row>
    <row r="157" spans="3:17" x14ac:dyDescent="0.3">
      <c r="C157" s="386"/>
      <c r="D157" s="387"/>
      <c r="E157" s="387"/>
      <c r="F157" s="387"/>
      <c r="G157" s="388"/>
      <c r="H157" s="386"/>
      <c r="I157" s="387"/>
      <c r="J157" s="387"/>
      <c r="K157" s="387"/>
      <c r="L157" s="388"/>
      <c r="M157" s="386"/>
      <c r="N157" s="387"/>
      <c r="O157" s="387"/>
      <c r="P157" s="387"/>
      <c r="Q157" s="388"/>
    </row>
    <row r="158" spans="3:17" x14ac:dyDescent="0.3">
      <c r="C158" s="378"/>
      <c r="D158" s="379"/>
      <c r="E158" s="379"/>
      <c r="F158" s="379"/>
      <c r="G158" s="380"/>
      <c r="H158" s="378"/>
      <c r="I158" s="379"/>
      <c r="J158" s="379"/>
      <c r="K158" s="379"/>
      <c r="L158" s="380"/>
      <c r="M158" s="378"/>
      <c r="N158" s="379"/>
      <c r="O158" s="379"/>
      <c r="P158" s="379"/>
      <c r="Q158" s="380"/>
    </row>
    <row r="159" spans="3:17" x14ac:dyDescent="0.3">
      <c r="C159" s="381"/>
      <c r="D159" s="368"/>
      <c r="E159" s="368"/>
      <c r="F159" s="368"/>
      <c r="G159" s="382"/>
      <c r="H159" s="381"/>
      <c r="I159" s="368"/>
      <c r="J159" s="368"/>
      <c r="K159" s="368"/>
      <c r="L159" s="382"/>
      <c r="M159" s="381"/>
      <c r="N159" s="368"/>
      <c r="O159" s="368"/>
      <c r="P159" s="368"/>
      <c r="Q159" s="382"/>
    </row>
    <row r="160" spans="3:17" x14ac:dyDescent="0.3">
      <c r="C160" s="381"/>
      <c r="D160" s="368"/>
      <c r="E160" s="368"/>
      <c r="F160" s="368"/>
      <c r="G160" s="382"/>
      <c r="H160" s="381"/>
      <c r="I160" s="368"/>
      <c r="J160" s="368"/>
      <c r="K160" s="368"/>
      <c r="L160" s="382"/>
      <c r="M160" s="381"/>
      <c r="N160" s="368"/>
      <c r="O160" s="368"/>
      <c r="P160" s="368"/>
      <c r="Q160" s="382"/>
    </row>
    <row r="161" spans="3:17" x14ac:dyDescent="0.3">
      <c r="C161" s="381"/>
      <c r="D161" s="368"/>
      <c r="E161" s="368"/>
      <c r="F161" s="368"/>
      <c r="G161" s="382"/>
      <c r="H161" s="381"/>
      <c r="I161" s="368"/>
      <c r="J161" s="368"/>
      <c r="K161" s="368"/>
      <c r="L161" s="382"/>
      <c r="M161" s="381"/>
      <c r="N161" s="368"/>
      <c r="O161" s="368"/>
      <c r="P161" s="368"/>
      <c r="Q161" s="382"/>
    </row>
    <row r="162" spans="3:17" x14ac:dyDescent="0.3">
      <c r="C162" s="381"/>
      <c r="D162" s="368"/>
      <c r="E162" s="368"/>
      <c r="F162" s="368"/>
      <c r="G162" s="382"/>
      <c r="H162" s="381"/>
      <c r="I162" s="368"/>
      <c r="J162" s="368"/>
      <c r="K162" s="368"/>
      <c r="L162" s="382"/>
      <c r="M162" s="381"/>
      <c r="N162" s="368"/>
      <c r="O162" s="368"/>
      <c r="P162" s="368"/>
      <c r="Q162" s="382"/>
    </row>
    <row r="163" spans="3:17" x14ac:dyDescent="0.3">
      <c r="C163" s="381"/>
      <c r="D163" s="368"/>
      <c r="E163" s="368"/>
      <c r="F163" s="368"/>
      <c r="G163" s="382"/>
      <c r="H163" s="381"/>
      <c r="I163" s="368"/>
      <c r="J163" s="368"/>
      <c r="K163" s="368"/>
      <c r="L163" s="382"/>
      <c r="M163" s="381"/>
      <c r="N163" s="368"/>
      <c r="O163" s="368"/>
      <c r="P163" s="368"/>
      <c r="Q163" s="382"/>
    </row>
    <row r="164" spans="3:17" x14ac:dyDescent="0.3">
      <c r="C164" s="381"/>
      <c r="D164" s="368"/>
      <c r="E164" s="368"/>
      <c r="F164" s="368"/>
      <c r="G164" s="382"/>
      <c r="H164" s="381"/>
      <c r="I164" s="368"/>
      <c r="J164" s="368"/>
      <c r="K164" s="368"/>
      <c r="L164" s="382"/>
      <c r="M164" s="381"/>
      <c r="N164" s="368"/>
      <c r="O164" s="368"/>
      <c r="P164" s="368"/>
      <c r="Q164" s="382"/>
    </row>
    <row r="165" spans="3:17" x14ac:dyDescent="0.3">
      <c r="C165" s="381"/>
      <c r="D165" s="368"/>
      <c r="E165" s="368"/>
      <c r="F165" s="368"/>
      <c r="G165" s="382"/>
      <c r="H165" s="381"/>
      <c r="I165" s="368"/>
      <c r="J165" s="368"/>
      <c r="K165" s="368"/>
      <c r="L165" s="382"/>
      <c r="M165" s="381"/>
      <c r="N165" s="368"/>
      <c r="O165" s="368"/>
      <c r="P165" s="368"/>
      <c r="Q165" s="382"/>
    </row>
    <row r="166" spans="3:17" x14ac:dyDescent="0.3">
      <c r="C166" s="381"/>
      <c r="D166" s="368"/>
      <c r="E166" s="368"/>
      <c r="F166" s="368"/>
      <c r="G166" s="382"/>
      <c r="H166" s="381"/>
      <c r="I166" s="368"/>
      <c r="J166" s="368"/>
      <c r="K166" s="368"/>
      <c r="L166" s="382"/>
      <c r="M166" s="381"/>
      <c r="N166" s="368"/>
      <c r="O166" s="368"/>
      <c r="P166" s="368"/>
      <c r="Q166" s="382"/>
    </row>
    <row r="167" spans="3:17" x14ac:dyDescent="0.3">
      <c r="C167" s="381"/>
      <c r="D167" s="368"/>
      <c r="E167" s="368"/>
      <c r="F167" s="368"/>
      <c r="G167" s="382"/>
      <c r="H167" s="381"/>
      <c r="I167" s="368"/>
      <c r="J167" s="368"/>
      <c r="K167" s="368"/>
      <c r="L167" s="382"/>
      <c r="M167" s="381"/>
      <c r="N167" s="368"/>
      <c r="O167" s="368"/>
      <c r="P167" s="368"/>
      <c r="Q167" s="382"/>
    </row>
    <row r="168" spans="3:17" x14ac:dyDescent="0.3">
      <c r="C168" s="381"/>
      <c r="D168" s="368"/>
      <c r="E168" s="368"/>
      <c r="F168" s="368"/>
      <c r="G168" s="382"/>
      <c r="H168" s="381"/>
      <c r="I168" s="368"/>
      <c r="J168" s="368"/>
      <c r="K168" s="368"/>
      <c r="L168" s="382"/>
      <c r="M168" s="381"/>
      <c r="N168" s="368"/>
      <c r="O168" s="368"/>
      <c r="P168" s="368"/>
      <c r="Q168" s="382"/>
    </row>
    <row r="169" spans="3:17" x14ac:dyDescent="0.3">
      <c r="C169" s="381"/>
      <c r="D169" s="368"/>
      <c r="E169" s="368"/>
      <c r="F169" s="368"/>
      <c r="G169" s="382"/>
      <c r="H169" s="381"/>
      <c r="I169" s="368"/>
      <c r="J169" s="368"/>
      <c r="K169" s="368"/>
      <c r="L169" s="382"/>
      <c r="M169" s="381"/>
      <c r="N169" s="368"/>
      <c r="O169" s="368"/>
      <c r="P169" s="368"/>
      <c r="Q169" s="382"/>
    </row>
    <row r="170" spans="3:17" x14ac:dyDescent="0.3">
      <c r="C170" s="381"/>
      <c r="D170" s="368"/>
      <c r="E170" s="368"/>
      <c r="F170" s="368"/>
      <c r="G170" s="382"/>
      <c r="H170" s="381"/>
      <c r="I170" s="368"/>
      <c r="J170" s="368"/>
      <c r="K170" s="368"/>
      <c r="L170" s="382"/>
      <c r="M170" s="381"/>
      <c r="N170" s="368"/>
      <c r="O170" s="368"/>
      <c r="P170" s="368"/>
      <c r="Q170" s="382"/>
    </row>
    <row r="171" spans="3:17" x14ac:dyDescent="0.3">
      <c r="C171" s="381"/>
      <c r="D171" s="368"/>
      <c r="E171" s="368"/>
      <c r="F171" s="368"/>
      <c r="G171" s="382"/>
      <c r="H171" s="381"/>
      <c r="I171" s="368"/>
      <c r="J171" s="368"/>
      <c r="K171" s="368"/>
      <c r="L171" s="382"/>
      <c r="M171" s="381"/>
      <c r="N171" s="368"/>
      <c r="O171" s="368"/>
      <c r="P171" s="368"/>
      <c r="Q171" s="382"/>
    </row>
    <row r="172" spans="3:17" x14ac:dyDescent="0.3">
      <c r="C172" s="381"/>
      <c r="D172" s="368"/>
      <c r="E172" s="368"/>
      <c r="F172" s="368"/>
      <c r="G172" s="382"/>
      <c r="H172" s="381"/>
      <c r="I172" s="368"/>
      <c r="J172" s="368"/>
      <c r="K172" s="368"/>
      <c r="L172" s="382"/>
      <c r="M172" s="381"/>
      <c r="N172" s="368"/>
      <c r="O172" s="368"/>
      <c r="P172" s="368"/>
      <c r="Q172" s="382"/>
    </row>
    <row r="173" spans="3:17" x14ac:dyDescent="0.3">
      <c r="C173" s="381"/>
      <c r="D173" s="368"/>
      <c r="E173" s="368"/>
      <c r="F173" s="368"/>
      <c r="G173" s="382"/>
      <c r="H173" s="381"/>
      <c r="I173" s="368"/>
      <c r="J173" s="368"/>
      <c r="K173" s="368"/>
      <c r="L173" s="382"/>
      <c r="M173" s="381"/>
      <c r="N173" s="368"/>
      <c r="O173" s="368"/>
      <c r="P173" s="368"/>
      <c r="Q173" s="382"/>
    </row>
    <row r="174" spans="3:17" x14ac:dyDescent="0.3">
      <c r="C174" s="381"/>
      <c r="D174" s="368"/>
      <c r="E174" s="368"/>
      <c r="F174" s="368"/>
      <c r="G174" s="382"/>
      <c r="H174" s="381"/>
      <c r="I174" s="368"/>
      <c r="J174" s="368"/>
      <c r="K174" s="368"/>
      <c r="L174" s="382"/>
      <c r="M174" s="381"/>
      <c r="N174" s="368"/>
      <c r="O174" s="368"/>
      <c r="P174" s="368"/>
      <c r="Q174" s="382"/>
    </row>
    <row r="175" spans="3:17" x14ac:dyDescent="0.3">
      <c r="C175" s="381"/>
      <c r="D175" s="368"/>
      <c r="E175" s="368"/>
      <c r="F175" s="368"/>
      <c r="G175" s="382"/>
      <c r="H175" s="381"/>
      <c r="I175" s="368"/>
      <c r="J175" s="368"/>
      <c r="K175" s="368"/>
      <c r="L175" s="382"/>
      <c r="M175" s="381"/>
      <c r="N175" s="368"/>
      <c r="O175" s="368"/>
      <c r="P175" s="368"/>
      <c r="Q175" s="382"/>
    </row>
    <row r="176" spans="3:17" x14ac:dyDescent="0.3">
      <c r="C176" s="381"/>
      <c r="D176" s="368"/>
      <c r="E176" s="368"/>
      <c r="F176" s="368"/>
      <c r="G176" s="382"/>
      <c r="H176" s="381"/>
      <c r="I176" s="368"/>
      <c r="J176" s="368"/>
      <c r="K176" s="368"/>
      <c r="L176" s="382"/>
      <c r="M176" s="381"/>
      <c r="N176" s="368"/>
      <c r="O176" s="368"/>
      <c r="P176" s="368"/>
      <c r="Q176" s="382"/>
    </row>
    <row r="177" spans="3:17" x14ac:dyDescent="0.3">
      <c r="C177" s="383"/>
      <c r="D177" s="384"/>
      <c r="E177" s="384"/>
      <c r="F177" s="384"/>
      <c r="G177" s="385"/>
      <c r="H177" s="383"/>
      <c r="I177" s="384"/>
      <c r="J177" s="384"/>
      <c r="K177" s="384"/>
      <c r="L177" s="385"/>
      <c r="M177" s="383"/>
      <c r="N177" s="384"/>
      <c r="O177" s="384"/>
      <c r="P177" s="384"/>
      <c r="Q177" s="385"/>
    </row>
    <row r="178" spans="3:17" x14ac:dyDescent="0.3">
      <c r="C178" s="386"/>
      <c r="D178" s="387"/>
      <c r="E178" s="387"/>
      <c r="F178" s="387"/>
      <c r="G178" s="388"/>
      <c r="H178" s="386"/>
      <c r="I178" s="387"/>
      <c r="J178" s="387"/>
      <c r="K178" s="387"/>
      <c r="L178" s="388"/>
      <c r="M178" s="386"/>
      <c r="N178" s="387"/>
      <c r="O178" s="387"/>
      <c r="P178" s="387"/>
      <c r="Q178" s="388"/>
    </row>
    <row r="179" spans="3:17" x14ac:dyDescent="0.3">
      <c r="C179" s="378"/>
      <c r="D179" s="379"/>
      <c r="E179" s="379"/>
      <c r="F179" s="379"/>
      <c r="G179" s="380"/>
      <c r="H179" s="378"/>
      <c r="I179" s="379"/>
      <c r="J179" s="379"/>
      <c r="K179" s="379"/>
      <c r="L179" s="380"/>
      <c r="M179" s="378"/>
      <c r="N179" s="379"/>
      <c r="O179" s="379"/>
      <c r="P179" s="379"/>
      <c r="Q179" s="380"/>
    </row>
    <row r="180" spans="3:17" x14ac:dyDescent="0.3">
      <c r="C180" s="381"/>
      <c r="D180" s="368"/>
      <c r="E180" s="368"/>
      <c r="F180" s="368"/>
      <c r="G180" s="382"/>
      <c r="H180" s="381"/>
      <c r="I180" s="368"/>
      <c r="J180" s="368"/>
      <c r="K180" s="368"/>
      <c r="L180" s="382"/>
      <c r="M180" s="381"/>
      <c r="N180" s="368"/>
      <c r="O180" s="368"/>
      <c r="P180" s="368"/>
      <c r="Q180" s="382"/>
    </row>
    <row r="181" spans="3:17" x14ac:dyDescent="0.3">
      <c r="C181" s="381"/>
      <c r="D181" s="368"/>
      <c r="E181" s="368"/>
      <c r="F181" s="368"/>
      <c r="G181" s="382"/>
      <c r="H181" s="381"/>
      <c r="I181" s="368"/>
      <c r="J181" s="368"/>
      <c r="K181" s="368"/>
      <c r="L181" s="382"/>
      <c r="M181" s="381"/>
      <c r="N181" s="368"/>
      <c r="O181" s="368"/>
      <c r="P181" s="368"/>
      <c r="Q181" s="382"/>
    </row>
    <row r="182" spans="3:17" x14ac:dyDescent="0.3">
      <c r="C182" s="381"/>
      <c r="D182" s="368"/>
      <c r="E182" s="368"/>
      <c r="F182" s="368"/>
      <c r="G182" s="382"/>
      <c r="H182" s="381"/>
      <c r="I182" s="368"/>
      <c r="J182" s="368"/>
      <c r="K182" s="368"/>
      <c r="L182" s="382"/>
      <c r="M182" s="381"/>
      <c r="N182" s="368"/>
      <c r="O182" s="368"/>
      <c r="P182" s="368"/>
      <c r="Q182" s="382"/>
    </row>
    <row r="183" spans="3:17" x14ac:dyDescent="0.3">
      <c r="C183" s="381"/>
      <c r="D183" s="368"/>
      <c r="E183" s="368"/>
      <c r="F183" s="368"/>
      <c r="G183" s="382"/>
      <c r="H183" s="381"/>
      <c r="I183" s="368"/>
      <c r="J183" s="368"/>
      <c r="K183" s="368"/>
      <c r="L183" s="382"/>
      <c r="M183" s="381"/>
      <c r="N183" s="368"/>
      <c r="O183" s="368"/>
      <c r="P183" s="368"/>
      <c r="Q183" s="382"/>
    </row>
    <row r="184" spans="3:17" x14ac:dyDescent="0.3">
      <c r="C184" s="381"/>
      <c r="D184" s="368"/>
      <c r="E184" s="368"/>
      <c r="F184" s="368"/>
      <c r="G184" s="382"/>
      <c r="H184" s="381"/>
      <c r="I184" s="368"/>
      <c r="J184" s="368"/>
      <c r="K184" s="368"/>
      <c r="L184" s="382"/>
      <c r="M184" s="381"/>
      <c r="N184" s="368"/>
      <c r="O184" s="368"/>
      <c r="P184" s="368"/>
      <c r="Q184" s="382"/>
    </row>
    <row r="185" spans="3:17" x14ac:dyDescent="0.3">
      <c r="C185" s="381"/>
      <c r="D185" s="368"/>
      <c r="E185" s="368"/>
      <c r="F185" s="368"/>
      <c r="G185" s="382"/>
      <c r="H185" s="381"/>
      <c r="I185" s="368"/>
      <c r="J185" s="368"/>
      <c r="K185" s="368"/>
      <c r="L185" s="382"/>
      <c r="M185" s="381"/>
      <c r="N185" s="368"/>
      <c r="O185" s="368"/>
      <c r="P185" s="368"/>
      <c r="Q185" s="382"/>
    </row>
    <row r="186" spans="3:17" x14ac:dyDescent="0.3">
      <c r="C186" s="381"/>
      <c r="D186" s="368"/>
      <c r="E186" s="368"/>
      <c r="F186" s="368"/>
      <c r="G186" s="382"/>
      <c r="H186" s="381"/>
      <c r="I186" s="368"/>
      <c r="J186" s="368"/>
      <c r="K186" s="368"/>
      <c r="L186" s="382"/>
      <c r="M186" s="381"/>
      <c r="N186" s="368"/>
      <c r="O186" s="368"/>
      <c r="P186" s="368"/>
      <c r="Q186" s="382"/>
    </row>
    <row r="187" spans="3:17" x14ac:dyDescent="0.3">
      <c r="C187" s="381"/>
      <c r="D187" s="368"/>
      <c r="E187" s="368"/>
      <c r="F187" s="368"/>
      <c r="G187" s="382"/>
      <c r="H187" s="381"/>
      <c r="I187" s="368"/>
      <c r="J187" s="368"/>
      <c r="K187" s="368"/>
      <c r="L187" s="382"/>
      <c r="M187" s="381"/>
      <c r="N187" s="368"/>
      <c r="O187" s="368"/>
      <c r="P187" s="368"/>
      <c r="Q187" s="382"/>
    </row>
    <row r="188" spans="3:17" x14ac:dyDescent="0.3">
      <c r="C188" s="381"/>
      <c r="D188" s="368"/>
      <c r="E188" s="368"/>
      <c r="F188" s="368"/>
      <c r="G188" s="382"/>
      <c r="H188" s="381"/>
      <c r="I188" s="368"/>
      <c r="J188" s="368"/>
      <c r="K188" s="368"/>
      <c r="L188" s="382"/>
      <c r="M188" s="381"/>
      <c r="N188" s="368"/>
      <c r="O188" s="368"/>
      <c r="P188" s="368"/>
      <c r="Q188" s="382"/>
    </row>
    <row r="189" spans="3:17" x14ac:dyDescent="0.3">
      <c r="C189" s="381"/>
      <c r="D189" s="368"/>
      <c r="E189" s="368"/>
      <c r="F189" s="368"/>
      <c r="G189" s="382"/>
      <c r="H189" s="381"/>
      <c r="I189" s="368"/>
      <c r="J189" s="368"/>
      <c r="K189" s="368"/>
      <c r="L189" s="382"/>
      <c r="M189" s="381"/>
      <c r="N189" s="368"/>
      <c r="O189" s="368"/>
      <c r="P189" s="368"/>
      <c r="Q189" s="382"/>
    </row>
    <row r="190" spans="3:17" x14ac:dyDescent="0.3">
      <c r="C190" s="381"/>
      <c r="D190" s="368"/>
      <c r="E190" s="368"/>
      <c r="F190" s="368"/>
      <c r="G190" s="382"/>
      <c r="H190" s="381"/>
      <c r="I190" s="368"/>
      <c r="J190" s="368"/>
      <c r="K190" s="368"/>
      <c r="L190" s="382"/>
      <c r="M190" s="381"/>
      <c r="N190" s="368"/>
      <c r="O190" s="368"/>
      <c r="P190" s="368"/>
      <c r="Q190" s="382"/>
    </row>
    <row r="191" spans="3:17" x14ac:dyDescent="0.3">
      <c r="C191" s="381"/>
      <c r="D191" s="368"/>
      <c r="E191" s="368"/>
      <c r="F191" s="368"/>
      <c r="G191" s="382"/>
      <c r="H191" s="381"/>
      <c r="I191" s="368"/>
      <c r="J191" s="368"/>
      <c r="K191" s="368"/>
      <c r="L191" s="382"/>
      <c r="M191" s="381"/>
      <c r="N191" s="368"/>
      <c r="O191" s="368"/>
      <c r="P191" s="368"/>
      <c r="Q191" s="382"/>
    </row>
    <row r="192" spans="3:17" x14ac:dyDescent="0.3">
      <c r="C192" s="381"/>
      <c r="D192" s="368"/>
      <c r="E192" s="368"/>
      <c r="F192" s="368"/>
      <c r="G192" s="382"/>
      <c r="H192" s="381"/>
      <c r="I192" s="368"/>
      <c r="J192" s="368"/>
      <c r="K192" s="368"/>
      <c r="L192" s="382"/>
      <c r="M192" s="381"/>
      <c r="N192" s="368"/>
      <c r="O192" s="368"/>
      <c r="P192" s="368"/>
      <c r="Q192" s="382"/>
    </row>
    <row r="193" spans="3:17" x14ac:dyDescent="0.3">
      <c r="C193" s="381"/>
      <c r="D193" s="368"/>
      <c r="E193" s="368"/>
      <c r="F193" s="368"/>
      <c r="G193" s="382"/>
      <c r="H193" s="381"/>
      <c r="I193" s="368"/>
      <c r="J193" s="368"/>
      <c r="K193" s="368"/>
      <c r="L193" s="382"/>
      <c r="M193" s="381"/>
      <c r="N193" s="368"/>
      <c r="O193" s="368"/>
      <c r="P193" s="368"/>
      <c r="Q193" s="382"/>
    </row>
    <row r="194" spans="3:17" x14ac:dyDescent="0.3">
      <c r="C194" s="381"/>
      <c r="D194" s="368"/>
      <c r="E194" s="368"/>
      <c r="F194" s="368"/>
      <c r="G194" s="382"/>
      <c r="H194" s="381"/>
      <c r="I194" s="368"/>
      <c r="J194" s="368"/>
      <c r="K194" s="368"/>
      <c r="L194" s="382"/>
      <c r="M194" s="381"/>
      <c r="N194" s="368"/>
      <c r="O194" s="368"/>
      <c r="P194" s="368"/>
      <c r="Q194" s="382"/>
    </row>
    <row r="195" spans="3:17" x14ac:dyDescent="0.3">
      <c r="C195" s="381"/>
      <c r="D195" s="368"/>
      <c r="E195" s="368"/>
      <c r="F195" s="368"/>
      <c r="G195" s="382"/>
      <c r="H195" s="381"/>
      <c r="I195" s="368"/>
      <c r="J195" s="368"/>
      <c r="K195" s="368"/>
      <c r="L195" s="382"/>
      <c r="M195" s="381"/>
      <c r="N195" s="368"/>
      <c r="O195" s="368"/>
      <c r="P195" s="368"/>
      <c r="Q195" s="382"/>
    </row>
    <row r="196" spans="3:17" x14ac:dyDescent="0.3">
      <c r="C196" s="381"/>
      <c r="D196" s="368"/>
      <c r="E196" s="368"/>
      <c r="F196" s="368"/>
      <c r="G196" s="382"/>
      <c r="H196" s="381"/>
      <c r="I196" s="368"/>
      <c r="J196" s="368"/>
      <c r="K196" s="368"/>
      <c r="L196" s="382"/>
      <c r="M196" s="381"/>
      <c r="N196" s="368"/>
      <c r="O196" s="368"/>
      <c r="P196" s="368"/>
      <c r="Q196" s="382"/>
    </row>
    <row r="197" spans="3:17" x14ac:dyDescent="0.3">
      <c r="C197" s="381"/>
      <c r="D197" s="368"/>
      <c r="E197" s="368"/>
      <c r="F197" s="368"/>
      <c r="G197" s="382"/>
      <c r="H197" s="381"/>
      <c r="I197" s="368"/>
      <c r="J197" s="368"/>
      <c r="K197" s="368"/>
      <c r="L197" s="382"/>
      <c r="M197" s="381"/>
      <c r="N197" s="368"/>
      <c r="O197" s="368"/>
      <c r="P197" s="368"/>
      <c r="Q197" s="382"/>
    </row>
    <row r="198" spans="3:17" x14ac:dyDescent="0.3">
      <c r="C198" s="383"/>
      <c r="D198" s="384"/>
      <c r="E198" s="384"/>
      <c r="F198" s="384"/>
      <c r="G198" s="385"/>
      <c r="H198" s="383"/>
      <c r="I198" s="384"/>
      <c r="J198" s="384"/>
      <c r="K198" s="384"/>
      <c r="L198" s="385"/>
      <c r="M198" s="383"/>
      <c r="N198" s="384"/>
      <c r="O198" s="384"/>
      <c r="P198" s="384"/>
      <c r="Q198" s="385"/>
    </row>
    <row r="199" spans="3:17" x14ac:dyDescent="0.3">
      <c r="C199" s="389"/>
      <c r="D199" s="389"/>
      <c r="E199" s="389"/>
      <c r="F199" s="389"/>
      <c r="G199" s="389"/>
      <c r="H199" s="389"/>
      <c r="I199" s="389"/>
      <c r="J199" s="389"/>
      <c r="K199" s="389"/>
      <c r="L199" s="389"/>
      <c r="M199" s="389"/>
      <c r="N199" s="389"/>
      <c r="O199" s="389"/>
      <c r="P199" s="389"/>
      <c r="Q199" s="389"/>
    </row>
  </sheetData>
  <mergeCells count="58">
    <mergeCell ref="A1:S1"/>
    <mergeCell ref="A2:S2"/>
    <mergeCell ref="A3:S3"/>
    <mergeCell ref="C157:G157"/>
    <mergeCell ref="H157:L157"/>
    <mergeCell ref="M157:Q157"/>
    <mergeCell ref="M69:Q69"/>
    <mergeCell ref="H69:L69"/>
    <mergeCell ref="C69:G69"/>
    <mergeCell ref="C113:G113"/>
    <mergeCell ref="M113:Q113"/>
    <mergeCell ref="C134:G134"/>
    <mergeCell ref="H134:L134"/>
    <mergeCell ref="M134:Q134"/>
    <mergeCell ref="B5:R5"/>
    <mergeCell ref="H7:L26"/>
    <mergeCell ref="C28:G47"/>
    <mergeCell ref="H28:L47"/>
    <mergeCell ref="M28:Q47"/>
    <mergeCell ref="C49:G68"/>
    <mergeCell ref="C199:G199"/>
    <mergeCell ref="H199:L199"/>
    <mergeCell ref="M199:Q199"/>
    <mergeCell ref="C178:G178"/>
    <mergeCell ref="H178:L178"/>
    <mergeCell ref="M178:Q178"/>
    <mergeCell ref="H114:L133"/>
    <mergeCell ref="M114:Q133"/>
    <mergeCell ref="H49:L68"/>
    <mergeCell ref="M49:Q68"/>
    <mergeCell ref="C72:G91"/>
    <mergeCell ref="H72:L91"/>
    <mergeCell ref="M72:Q91"/>
    <mergeCell ref="C93:G112"/>
    <mergeCell ref="H93:L112"/>
    <mergeCell ref="M93:Q112"/>
    <mergeCell ref="C7:G26"/>
    <mergeCell ref="C137:G156"/>
    <mergeCell ref="H137:L156"/>
    <mergeCell ref="M137:Q156"/>
    <mergeCell ref="C27:G27"/>
    <mergeCell ref="H27:L27"/>
    <mergeCell ref="M27:Q27"/>
    <mergeCell ref="C48:G48"/>
    <mergeCell ref="H48:L48"/>
    <mergeCell ref="M48:Q48"/>
    <mergeCell ref="C92:G92"/>
    <mergeCell ref="H92:L92"/>
    <mergeCell ref="M92:Q92"/>
    <mergeCell ref="H113:L113"/>
    <mergeCell ref="M7:Q26"/>
    <mergeCell ref="C114:G133"/>
    <mergeCell ref="C158:G177"/>
    <mergeCell ref="H158:L177"/>
    <mergeCell ref="M158:Q177"/>
    <mergeCell ref="C179:G198"/>
    <mergeCell ref="H179:L198"/>
    <mergeCell ref="M179:Q198"/>
  </mergeCells>
  <printOptions horizontalCentered="1"/>
  <pageMargins left="0.70866141732283472" right="0.70866141732283472" top="0.74803149606299213" bottom="0.74803149606299213" header="0.31496062992125984" footer="0.31496062992125984"/>
  <pageSetup scale="49" fitToHeight="3" orientation="landscape" r:id="rId1"/>
  <rowBreaks count="2" manualBreakCount="2">
    <brk id="70" max="18" man="1"/>
    <brk id="135" max="18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463CA-D5A3-4C69-BE2B-8EFF360E120C}">
  <dimension ref="A1"/>
  <sheetViews>
    <sheetView showGridLines="0" tabSelected="1" workbookViewId="0">
      <selection activeCell="E10" sqref="E10"/>
    </sheetView>
  </sheetViews>
  <sheetFormatPr baseColWidth="10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69</vt:i4>
      </vt:variant>
    </vt:vector>
  </HeadingPairs>
  <TitlesOfParts>
    <vt:vector size="88" baseType="lpstr">
      <vt:lpstr>Listados</vt:lpstr>
      <vt:lpstr>General</vt:lpstr>
      <vt:lpstr>Características Generales</vt:lpstr>
      <vt:lpstr>Escritura y Matrículas</vt:lpstr>
      <vt:lpstr>Garajes y Dépositos</vt:lpstr>
      <vt:lpstr>Propiedad Horizontal</vt:lpstr>
      <vt:lpstr>Del Entorno</vt:lpstr>
      <vt:lpstr>Estructura</vt:lpstr>
      <vt:lpstr>C. MERCADO P.H.</vt:lpstr>
      <vt:lpstr>C. MERCADO TERR.CONST.</vt:lpstr>
      <vt:lpstr>Reposición</vt:lpstr>
      <vt:lpstr>Fitto y Corvini</vt:lpstr>
      <vt:lpstr>Dependencias</vt:lpstr>
      <vt:lpstr>Calculos</vt:lpstr>
      <vt:lpstr>Liquidación</vt:lpstr>
      <vt:lpstr>Acabados</vt:lpstr>
      <vt:lpstr>Mapa</vt:lpstr>
      <vt:lpstr>Fotos</vt:lpstr>
      <vt:lpstr>FIRMA</vt:lpstr>
      <vt:lpstr>Amazonas</vt:lpstr>
      <vt:lpstr>AnchoFachada</vt:lpstr>
      <vt:lpstr>Antioquia</vt:lpstr>
      <vt:lpstr>Arauca</vt:lpstr>
      <vt:lpstr>Acabados!Área_de_impresión</vt:lpstr>
      <vt:lpstr>Calculos!Área_de_impresión</vt:lpstr>
      <vt:lpstr>'Características Generales'!Área_de_impresión</vt:lpstr>
      <vt:lpstr>'Del Entorno'!Área_de_impresión</vt:lpstr>
      <vt:lpstr>Dependencias!Área_de_impresión</vt:lpstr>
      <vt:lpstr>'Escritura y Matrículas'!Área_de_impresión</vt:lpstr>
      <vt:lpstr>Estructura!Área_de_impresión</vt:lpstr>
      <vt:lpstr>Fotos!Área_de_impresión</vt:lpstr>
      <vt:lpstr>'Garajes y Dépositos'!Área_de_impresión</vt:lpstr>
      <vt:lpstr>General!Área_de_impresión</vt:lpstr>
      <vt:lpstr>Liquidación!Área_de_impresión</vt:lpstr>
      <vt:lpstr>Mapa!Área_de_impresión</vt:lpstr>
      <vt:lpstr>'Propiedad Horizontal'!Área_de_impresión</vt:lpstr>
      <vt:lpstr>AreaActiv</vt:lpstr>
      <vt:lpstr>Atlántico</vt:lpstr>
      <vt:lpstr>Bolívar</vt:lpstr>
      <vt:lpstr>Boyacá</vt:lpstr>
      <vt:lpstr>Capacidad</vt:lpstr>
      <vt:lpstr>ClaseInm</vt:lpstr>
      <vt:lpstr>Cocina</vt:lpstr>
      <vt:lpstr>Cond2</vt:lpstr>
      <vt:lpstr>Condicional</vt:lpstr>
      <vt:lpstr>Condicional2</vt:lpstr>
      <vt:lpstr>Condiciones</vt:lpstr>
      <vt:lpstr>Cubierta</vt:lpstr>
      <vt:lpstr>Cundinamarca</vt:lpstr>
      <vt:lpstr>Demanda</vt:lpstr>
      <vt:lpstr>Dep</vt:lpstr>
      <vt:lpstr>Depa2</vt:lpstr>
      <vt:lpstr>Distancia</vt:lpstr>
      <vt:lpstr>Empresa</vt:lpstr>
      <vt:lpstr>Estado</vt:lpstr>
      <vt:lpstr>EstadoConstruccion</vt:lpstr>
      <vt:lpstr>Estados2</vt:lpstr>
      <vt:lpstr>Estrato</vt:lpstr>
      <vt:lpstr>Estructura</vt:lpstr>
      <vt:lpstr>Fachada</vt:lpstr>
      <vt:lpstr>Forma</vt:lpstr>
      <vt:lpstr>Horario</vt:lpstr>
      <vt:lpstr>Liq</vt:lpstr>
      <vt:lpstr>Material</vt:lpstr>
      <vt:lpstr>Metodo</vt:lpstr>
      <vt:lpstr>Nivel</vt:lpstr>
      <vt:lpstr>Numeros</vt:lpstr>
      <vt:lpstr>Ocupante</vt:lpstr>
      <vt:lpstr>Sector</vt:lpstr>
      <vt:lpstr>Solicitante</vt:lpstr>
      <vt:lpstr>TipCed</vt:lpstr>
      <vt:lpstr>TipEstructura</vt:lpstr>
      <vt:lpstr>TipInm</vt:lpstr>
      <vt:lpstr>Tipo</vt:lpstr>
      <vt:lpstr>Tipo2</vt:lpstr>
      <vt:lpstr>TipoAreaLiq</vt:lpstr>
      <vt:lpstr>TipoVivienda</vt:lpstr>
      <vt:lpstr>Topografia</vt:lpstr>
      <vt:lpstr>TOTAL</vt:lpstr>
      <vt:lpstr>Transporte</vt:lpstr>
      <vt:lpstr>Unidad</vt:lpstr>
      <vt:lpstr>Unidad7</vt:lpstr>
      <vt:lpstr>UnidadesFinal</vt:lpstr>
      <vt:lpstr>UnidadesLiq</vt:lpstr>
      <vt:lpstr>Uso</vt:lpstr>
      <vt:lpstr>UsoPred</vt:lpstr>
      <vt:lpstr>ValorTotal</vt:lpstr>
      <vt:lpstr>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</dc:creator>
  <cp:lastModifiedBy>samuel andres romero bueno</cp:lastModifiedBy>
  <cp:lastPrinted>2021-11-23T23:45:34Z</cp:lastPrinted>
  <dcterms:created xsi:type="dcterms:W3CDTF">2021-10-21T17:12:50Z</dcterms:created>
  <dcterms:modified xsi:type="dcterms:W3CDTF">2021-12-12T15:41:30Z</dcterms:modified>
</cp:coreProperties>
</file>